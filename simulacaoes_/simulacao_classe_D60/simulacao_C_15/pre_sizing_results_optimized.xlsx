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4"/>
  </sheets>
  <definedNames/>
  <calcPr/>
  <extLst>
    <ext uri="GoogleSheetsCustomDataVersion2">
      <go:sheetsCustomData xmlns:go="http://customooxmlschemas.google.com/" r:id="rId5" roundtripDataChecksum="aoJTvLhDlyTog/57MSxRMbDEcxKbQT8P+LQ96K8/k+I="/>
    </ext>
  </extLst>
</workbook>
</file>

<file path=xl/sharedStrings.xml><?xml version="1.0" encoding="utf-8"?>
<sst xmlns="http://schemas.openxmlformats.org/spreadsheetml/2006/main" count="13" uniqueCount="13">
  <si>
    <t>d_cm</t>
  </si>
  <si>
    <t>esp_cm</t>
  </si>
  <si>
    <t>bw_cm</t>
  </si>
  <si>
    <t>h_cm</t>
  </si>
  <si>
    <t>esp_tab_cm</t>
  </si>
  <si>
    <t>of_volume_m3</t>
  </si>
  <si>
    <t>of_fator_flecha</t>
  </si>
  <si>
    <t>longarina_g_m</t>
  </si>
  <si>
    <t>longarina_g_v</t>
  </si>
  <si>
    <t>longarina_g_f</t>
  </si>
  <si>
    <t>tabuleiro_g_m</t>
  </si>
  <si>
    <t>longarina_g_esp</t>
  </si>
  <si>
    <t>tabuleiro_g_esp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</si>
</sst>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0" fontId="2" numFmtId="0" xfId="0" applyFont="1"/>
    <xf borderId="0" fillId="3" fontId="2" numFmtId="0" xfId="0" applyFill="1" applyFont="1"/>
    <xf borderId="0" fillId="4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2.29"/>
    <col customWidth="1" min="6" max="6" width="14.29"/>
    <col customWidth="1" min="7" max="8" width="15.43"/>
    <col customWidth="1" min="9" max="9" width="15.0"/>
    <col customWidth="1" min="10" max="11" width="14.0"/>
    <col customWidth="1" min="12" max="12" width="17.14"/>
    <col customWidth="1" min="13" max="13" width="15.43"/>
    <col customWidth="1" min="14" max="14" width="15.14"/>
    <col customWidth="1" min="15" max="15" width="8.71"/>
    <col customWidth="1" min="16" max="16" width="17.14"/>
    <col customWidth="1" min="17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>
      <c r="A2" s="2">
        <v>149.9999806742238</v>
      </c>
      <c r="B2" s="2">
        <v>192.5910912917388</v>
      </c>
      <c r="C2" s="2">
        <v>44.26296700893543</v>
      </c>
      <c r="D2" s="2">
        <v>8.782989699231202</v>
      </c>
      <c r="E2" s="2">
        <v>4.584255642542987</v>
      </c>
      <c r="F2" s="2">
        <v>19.36884232606686</v>
      </c>
      <c r="G2" s="2">
        <f t="shared" ref="G2:G51" si="1">ABS(F2-$F$52)</f>
        <v>10.82117727</v>
      </c>
      <c r="H2" s="2">
        <v>0.002426963904566642</v>
      </c>
      <c r="I2" s="2">
        <v>-0.9818700262292194</v>
      </c>
      <c r="J2" s="2">
        <v>-0.9798374975616047</v>
      </c>
      <c r="K2" s="2">
        <v>-0.9974788438833919</v>
      </c>
      <c r="L2" s="2">
        <v>-7.440784082156561E-4</v>
      </c>
      <c r="M2" s="2">
        <v>-0.2440137535015447</v>
      </c>
      <c r="N2" s="2">
        <v>-0.06477731374780907</v>
      </c>
      <c r="P2" s="3">
        <f>LARGE(I2:L3,1)</f>
        <v>-0.0007440784082</v>
      </c>
    </row>
    <row r="3">
      <c r="A3" s="4">
        <v>34.7020919850146</v>
      </c>
      <c r="B3" s="4">
        <v>153.4834086091292</v>
      </c>
      <c r="C3" s="4">
        <v>47.70783579215555</v>
      </c>
      <c r="D3" s="4">
        <v>9.310574552135773</v>
      </c>
      <c r="E3" s="4">
        <v>4.169527051056633</v>
      </c>
      <c r="F3" s="4">
        <v>3.35709806111267</v>
      </c>
      <c r="G3" s="4">
        <f t="shared" si="1"/>
        <v>5.190566997</v>
      </c>
      <c r="H3" s="4">
        <v>0.3700098932785847</v>
      </c>
      <c r="I3" s="4">
        <v>-0.00327490004982538</v>
      </c>
      <c r="J3" s="4">
        <v>-0.4204244487272251</v>
      </c>
      <c r="K3" s="4">
        <v>-0.1203843109082469</v>
      </c>
      <c r="L3" s="4">
        <v>-0.002460838185351795</v>
      </c>
      <c r="M3" s="4">
        <v>-0.1342270469028636</v>
      </c>
      <c r="N3" s="4">
        <v>-0.02442901513444128</v>
      </c>
    </row>
    <row r="4">
      <c r="A4" s="3">
        <v>59.62267291448738</v>
      </c>
      <c r="B4" s="3">
        <v>190.7467681623087</v>
      </c>
      <c r="C4" s="3">
        <v>38.88372666095812</v>
      </c>
      <c r="D4" s="3">
        <v>8.666494446216335</v>
      </c>
      <c r="E4" s="3">
        <v>4.666640240640866</v>
      </c>
      <c r="F4" s="3">
        <v>5.943726931005218</v>
      </c>
      <c r="G4" s="3">
        <f t="shared" si="1"/>
        <v>2.603938127</v>
      </c>
      <c r="H4" s="3">
        <v>0.04706830035654883</v>
      </c>
      <c r="I4" s="3">
        <v>-0.7957220276880175</v>
      </c>
      <c r="J4" s="3">
        <v>-0.8317144016583948</v>
      </c>
      <c r="K4" s="3">
        <v>-0.899058483188773</v>
      </c>
      <c r="L4" s="3">
        <v>-0.001042914433965047</v>
      </c>
      <c r="M4" s="3">
        <v>-0.3203855241566471</v>
      </c>
      <c r="N4" s="3">
        <v>-0.1369189011802926</v>
      </c>
    </row>
    <row r="5">
      <c r="A5" s="3">
        <v>37.3189111422359</v>
      </c>
      <c r="B5" s="3">
        <v>197.4819819371707</v>
      </c>
      <c r="C5" s="3">
        <v>47.69877429830562</v>
      </c>
      <c r="D5" s="3">
        <v>9.26485060011231</v>
      </c>
      <c r="E5" s="3">
        <v>4.370898768114594</v>
      </c>
      <c r="F5" s="3">
        <v>3.567561023026198</v>
      </c>
      <c r="G5" s="3">
        <f t="shared" si="1"/>
        <v>4.980104035</v>
      </c>
      <c r="H5" s="3">
        <v>0.2788628025147613</v>
      </c>
      <c r="I5" s="3">
        <v>-0.1962495319738884</v>
      </c>
      <c r="J5" s="3">
        <v>-0.5070585419734622</v>
      </c>
      <c r="K5" s="3">
        <v>-0.3423425589253498</v>
      </c>
      <c r="L5" s="3">
        <v>-0.02331530987105398</v>
      </c>
      <c r="M5" s="3">
        <v>-0.1537748684779504</v>
      </c>
      <c r="N5" s="3">
        <v>-0.02454431699416776</v>
      </c>
    </row>
    <row r="6">
      <c r="A6" s="3">
        <v>39.4541941611599</v>
      </c>
      <c r="B6" s="3">
        <v>198.0585187110342</v>
      </c>
      <c r="C6" s="3">
        <v>47.67577327534712</v>
      </c>
      <c r="D6" s="3">
        <v>9.199041241199756</v>
      </c>
      <c r="E6" s="3">
        <v>4.286735747139242</v>
      </c>
      <c r="F6" s="3">
        <v>3.744571638096958</v>
      </c>
      <c r="G6" s="3">
        <f t="shared" si="1"/>
        <v>4.80309342</v>
      </c>
      <c r="H6" s="3">
        <v>0.2247273764867719</v>
      </c>
      <c r="I6" s="3">
        <v>-0.3181333095117672</v>
      </c>
      <c r="J6" s="3">
        <v>-0.5649064301143762</v>
      </c>
      <c r="K6" s="3">
        <v>-0.4735672692033706</v>
      </c>
      <c r="L6" s="3">
        <v>-0.03443398306117428</v>
      </c>
      <c r="M6" s="3">
        <v>-0.1697255815224703</v>
      </c>
      <c r="N6" s="3">
        <v>-0.02483699067101002</v>
      </c>
    </row>
    <row r="7">
      <c r="A7" s="3">
        <v>63.96619730127285</v>
      </c>
      <c r="B7" s="3">
        <v>198.0153311509537</v>
      </c>
      <c r="C7" s="3">
        <v>47.659284514342</v>
      </c>
      <c r="D7" s="3">
        <v>8.216784361441377</v>
      </c>
      <c r="E7" s="3">
        <v>4.359444695167124</v>
      </c>
      <c r="F7" s="3">
        <v>6.508982745226036</v>
      </c>
      <c r="G7" s="3">
        <f t="shared" si="1"/>
        <v>2.038682313</v>
      </c>
      <c r="H7" s="3">
        <v>0.03634894972827084</v>
      </c>
      <c r="I7" s="3">
        <v>-0.8330910048836747</v>
      </c>
      <c r="J7" s="3">
        <v>-0.857571552504078</v>
      </c>
      <c r="K7" s="3">
        <v>-0.9238072830497133</v>
      </c>
      <c r="L7" s="3">
        <v>-0.1572255731043162</v>
      </c>
      <c r="M7" s="3">
        <v>-0.3528319541996311</v>
      </c>
      <c r="N7" s="3">
        <v>-0.02534803996785906</v>
      </c>
    </row>
    <row r="8">
      <c r="A8" s="3">
        <v>49.99307264460188</v>
      </c>
      <c r="B8" s="3">
        <v>185.5285436752148</v>
      </c>
      <c r="C8" s="3">
        <v>47.63721841113642</v>
      </c>
      <c r="D8" s="3">
        <v>8.442734264653623</v>
      </c>
      <c r="E8" s="3">
        <v>4.69626096149308</v>
      </c>
      <c r="F8" s="3">
        <v>4.69337291651666</v>
      </c>
      <c r="G8" s="3">
        <f t="shared" si="1"/>
        <v>3.854292142</v>
      </c>
      <c r="H8" s="3">
        <v>0.0904357644009491</v>
      </c>
      <c r="I8" s="3">
        <v>-0.6602359355848498</v>
      </c>
      <c r="J8" s="3">
        <v>-0.7467170271097895</v>
      </c>
      <c r="K8" s="3">
        <v>-0.7957903439545876</v>
      </c>
      <c r="L8" s="3">
        <v>-0.003120849836691955</v>
      </c>
      <c r="M8" s="3">
        <v>-0.24845173866915</v>
      </c>
      <c r="N8" s="3">
        <v>-0.02621942770823553</v>
      </c>
    </row>
    <row r="9">
      <c r="A9" s="3">
        <v>41.89989853745337</v>
      </c>
      <c r="B9" s="3">
        <v>168.5106651817362</v>
      </c>
      <c r="C9" s="3">
        <v>47.70792002273569</v>
      </c>
      <c r="D9" s="3">
        <v>8.951120001392045</v>
      </c>
      <c r="E9" s="3">
        <v>4.496815206095254</v>
      </c>
      <c r="F9" s="3">
        <v>3.926659921661078</v>
      </c>
      <c r="G9" s="3">
        <f t="shared" si="1"/>
        <v>4.621005137</v>
      </c>
      <c r="H9" s="3">
        <v>0.1778225578702072</v>
      </c>
      <c r="I9" s="3">
        <v>-0.4293435678251855</v>
      </c>
      <c r="J9" s="3">
        <v>-0.6204053375898896</v>
      </c>
      <c r="K9" s="3">
        <v>-0.5861302275024958</v>
      </c>
      <c r="L9" s="3">
        <v>-0.01197766303819591</v>
      </c>
      <c r="M9" s="3">
        <v>-0.1879951637522028</v>
      </c>
      <c r="N9" s="3">
        <v>-0.02442794335282328</v>
      </c>
    </row>
    <row r="10">
      <c r="A10" s="3">
        <v>89.58104086384384</v>
      </c>
      <c r="B10" s="3">
        <v>180.3646974348097</v>
      </c>
      <c r="C10" s="3">
        <v>47.84869381073645</v>
      </c>
      <c r="D10" s="3">
        <v>8.960004714208726</v>
      </c>
      <c r="E10" s="3">
        <v>4.495187971734596</v>
      </c>
      <c r="F10" s="3">
        <v>11.26553472660013</v>
      </c>
      <c r="G10" s="3">
        <f t="shared" si="1"/>
        <v>2.717869668</v>
      </c>
      <c r="H10" s="3">
        <v>0.01129331037748463</v>
      </c>
      <c r="I10" s="3">
        <v>-0.9345692672291154</v>
      </c>
      <c r="J10" s="3">
        <v>-0.9363693627577075</v>
      </c>
      <c r="K10" s="3">
        <v>-0.9801915188610856</v>
      </c>
      <c r="L10" s="3">
        <v>-0.6141039254736297</v>
      </c>
      <c r="M10" s="3">
        <v>-0.5441766217335504</v>
      </c>
      <c r="N10" s="3">
        <v>-0.02027609390093972</v>
      </c>
    </row>
    <row r="11">
      <c r="A11" s="3">
        <v>36.54090571871566</v>
      </c>
      <c r="B11" s="3">
        <v>150.3393355012637</v>
      </c>
      <c r="C11" s="3">
        <v>47.67620857028019</v>
      </c>
      <c r="D11" s="3">
        <v>9.310574552135773</v>
      </c>
      <c r="E11" s="3">
        <v>4.169527051056633</v>
      </c>
      <c r="F11" s="3">
        <v>3.509007342061616</v>
      </c>
      <c r="G11" s="3">
        <f t="shared" si="1"/>
        <v>5.038657716</v>
      </c>
      <c r="H11" s="3">
        <v>0.3027394814807159</v>
      </c>
      <c r="I11" s="3">
        <v>-0.144472676168938</v>
      </c>
      <c r="J11" s="3">
        <v>-0.4832549677477091</v>
      </c>
      <c r="K11" s="3">
        <v>-0.2845185763297675</v>
      </c>
      <c r="L11" s="3">
        <v>-0.02330368011221784</v>
      </c>
      <c r="M11" s="3">
        <v>-0.1479631137139825</v>
      </c>
      <c r="N11" s="3">
        <v>-0.02483145181437674</v>
      </c>
    </row>
    <row r="12">
      <c r="A12" s="3">
        <v>35.06800506964357</v>
      </c>
      <c r="B12" s="3">
        <v>154.267479805631</v>
      </c>
      <c r="C12" s="3">
        <v>47.67279167862173</v>
      </c>
      <c r="D12" s="3">
        <v>9.355402278449418</v>
      </c>
      <c r="E12" s="3">
        <v>4.454297010148458</v>
      </c>
      <c r="F12" s="3">
        <v>3.394898443764141</v>
      </c>
      <c r="G12" s="3">
        <f t="shared" si="1"/>
        <v>5.152766615</v>
      </c>
      <c r="H12" s="3">
        <v>0.3553881782446106</v>
      </c>
      <c r="I12" s="3">
        <v>-0.03357555564931729</v>
      </c>
      <c r="J12" s="3">
        <v>-0.4336511640719785</v>
      </c>
      <c r="K12" s="3">
        <v>-0.1565266781846138</v>
      </c>
      <c r="L12" s="3">
        <v>-0.01548162629462721</v>
      </c>
      <c r="M12" s="3">
        <v>-0.1369604431601395</v>
      </c>
      <c r="N12" s="3">
        <v>-0.0248749296304232</v>
      </c>
    </row>
    <row r="13">
      <c r="A13" s="3">
        <v>86.82478966844558</v>
      </c>
      <c r="B13" s="3">
        <v>187.0309908904915</v>
      </c>
      <c r="C13" s="3">
        <v>40.47748158973709</v>
      </c>
      <c r="D13" s="3">
        <v>7.60136860332044</v>
      </c>
      <c r="E13" s="3">
        <v>4.31151662951886</v>
      </c>
      <c r="F13" s="3">
        <v>10.39555873418816</v>
      </c>
      <c r="G13" s="3">
        <f t="shared" si="1"/>
        <v>1.847893676</v>
      </c>
      <c r="H13" s="3">
        <v>0.01244662206109093</v>
      </c>
      <c r="I13" s="3">
        <v>-0.9289964589679006</v>
      </c>
      <c r="J13" s="3">
        <v>-0.9316934534725386</v>
      </c>
      <c r="K13" s="3">
        <v>-0.9775539134143946</v>
      </c>
      <c r="L13" s="3">
        <v>-0.3109497341552224</v>
      </c>
      <c r="M13" s="3">
        <v>-0.5235872331106939</v>
      </c>
      <c r="N13" s="3">
        <v>-0.1503566806468832</v>
      </c>
    </row>
    <row r="14">
      <c r="A14" s="3">
        <v>38.59357338464731</v>
      </c>
      <c r="B14" s="3">
        <v>166.2903435341852</v>
      </c>
      <c r="C14" s="3">
        <v>47.68836102257742</v>
      </c>
      <c r="D14" s="3">
        <v>9.111369632882328</v>
      </c>
      <c r="E14" s="3">
        <v>4.356417904965642</v>
      </c>
      <c r="F14" s="3">
        <v>3.6481850344639</v>
      </c>
      <c r="G14" s="3">
        <f t="shared" si="1"/>
        <v>4.899480024</v>
      </c>
      <c r="H14" s="3">
        <v>0.244432439187212</v>
      </c>
      <c r="I14" s="3">
        <v>-0.2726043623015267</v>
      </c>
      <c r="J14" s="3">
        <v>-0.543035533231404</v>
      </c>
      <c r="K14" s="3">
        <v>-0.4250161768435893</v>
      </c>
      <c r="L14" s="3">
        <v>-0.005598586781188278</v>
      </c>
      <c r="M14" s="3">
        <v>-0.1632966843108858</v>
      </c>
      <c r="N14" s="3">
        <v>-0.0246768194355093</v>
      </c>
    </row>
    <row r="15">
      <c r="A15" s="3">
        <v>98.46517176750987</v>
      </c>
      <c r="B15" s="3">
        <v>195.5616247753455</v>
      </c>
      <c r="C15" s="3">
        <v>44.71262288356765</v>
      </c>
      <c r="D15" s="3">
        <v>5.201957932879826</v>
      </c>
      <c r="E15" s="3">
        <v>4.358658436736648</v>
      </c>
      <c r="F15" s="3">
        <v>12.42782259059583</v>
      </c>
      <c r="G15" s="3">
        <f t="shared" si="1"/>
        <v>3.880157532</v>
      </c>
      <c r="H15" s="3">
        <v>0.008143215658687397</v>
      </c>
      <c r="I15" s="3">
        <v>-0.9495989983818884</v>
      </c>
      <c r="J15" s="3">
        <v>-0.9499972728746413</v>
      </c>
      <c r="K15" s="3">
        <v>-0.9864298383164493</v>
      </c>
      <c r="L15" s="3">
        <v>-0.1296277735877997</v>
      </c>
      <c r="M15" s="3">
        <v>-0.6105416990738536</v>
      </c>
      <c r="N15" s="3">
        <v>-0.07668354026736382</v>
      </c>
    </row>
    <row r="16">
      <c r="A16" s="3">
        <v>45.73943353543883</v>
      </c>
      <c r="B16" s="3">
        <v>182.8965379537023</v>
      </c>
      <c r="C16" s="3">
        <v>47.58031972317218</v>
      </c>
      <c r="D16" s="3">
        <v>8.788718714342725</v>
      </c>
      <c r="E16" s="3">
        <v>4.376485183382622</v>
      </c>
      <c r="F16" s="3">
        <v>4.287514815369691</v>
      </c>
      <c r="G16" s="3">
        <f t="shared" si="1"/>
        <v>4.260150243</v>
      </c>
      <c r="H16" s="3">
        <v>0.1270164418796612</v>
      </c>
      <c r="I16" s="3">
        <v>-0.5590055635424184</v>
      </c>
      <c r="J16" s="3">
        <v>-0.6890721451050921</v>
      </c>
      <c r="K16" s="3">
        <v>-0.7085577798869879</v>
      </c>
      <c r="L16" s="3">
        <v>-0.02292373416386283</v>
      </c>
      <c r="M16" s="3">
        <v>-0.2166767579177006</v>
      </c>
      <c r="N16" s="3">
        <v>-0.02846634999776165</v>
      </c>
    </row>
    <row r="17">
      <c r="A17" s="3">
        <v>57.02825932752928</v>
      </c>
      <c r="B17" s="3">
        <v>188.1137871622485</v>
      </c>
      <c r="C17" s="3">
        <v>47.90718198614658</v>
      </c>
      <c r="D17" s="3">
        <v>8.18521616659731</v>
      </c>
      <c r="E17" s="3">
        <v>4.958695727578656</v>
      </c>
      <c r="F17" s="3">
        <v>5.523729276880117</v>
      </c>
      <c r="G17" s="3">
        <f t="shared" si="1"/>
        <v>3.023935782</v>
      </c>
      <c r="H17" s="3">
        <v>0.05526433497745116</v>
      </c>
      <c r="I17" s="3">
        <v>-0.7681187106838616</v>
      </c>
      <c r="J17" s="3">
        <v>-0.8135021871511768</v>
      </c>
      <c r="K17" s="3">
        <v>-0.8793978277587332</v>
      </c>
      <c r="L17" s="3">
        <v>-0.05108532549710511</v>
      </c>
      <c r="M17" s="3">
        <v>-0.3010050737537656</v>
      </c>
      <c r="N17" s="3">
        <v>-0.01802593673231215</v>
      </c>
    </row>
    <row r="18">
      <c r="A18" s="3">
        <v>95.30726687762652</v>
      </c>
      <c r="B18" s="3">
        <v>195.2173482337701</v>
      </c>
      <c r="C18" s="3">
        <v>44.52946797903787</v>
      </c>
      <c r="D18" s="3">
        <v>5.263358376252168</v>
      </c>
      <c r="E18" s="3">
        <v>4.378008220365221</v>
      </c>
      <c r="F18" s="3">
        <v>11.72056207364408</v>
      </c>
      <c r="G18" s="3">
        <f t="shared" si="1"/>
        <v>3.172897015</v>
      </c>
      <c r="H18" s="3">
        <v>0.009047842913743566</v>
      </c>
      <c r="I18" s="3">
        <v>-0.9450386530743472</v>
      </c>
      <c r="J18" s="3">
        <v>-0.94589701289779</v>
      </c>
      <c r="K18" s="3">
        <v>-0.984539927308144</v>
      </c>
      <c r="L18" s="3">
        <v>-0.02387975647033736</v>
      </c>
      <c r="M18" s="3">
        <v>-0.5869519293459055</v>
      </c>
      <c r="N18" s="3">
        <v>-0.07720376804655867</v>
      </c>
    </row>
    <row r="19">
      <c r="A19" s="3">
        <v>47.35580674442529</v>
      </c>
      <c r="B19" s="3">
        <v>190.1499826908801</v>
      </c>
      <c r="C19" s="3">
        <v>47.67763019028104</v>
      </c>
      <c r="D19" s="3">
        <v>8.764590392985774</v>
      </c>
      <c r="E19" s="3">
        <v>4.340573704535188</v>
      </c>
      <c r="F19" s="3">
        <v>4.455941431063993</v>
      </c>
      <c r="G19" s="3">
        <f t="shared" si="1"/>
        <v>4.091723627</v>
      </c>
      <c r="H19" s="3">
        <v>0.1113042865255751</v>
      </c>
      <c r="I19" s="3">
        <v>-0.6016213041134254</v>
      </c>
      <c r="J19" s="3">
        <v>-0.7128116444646778</v>
      </c>
      <c r="K19" s="3">
        <v>-0.7463571436578736</v>
      </c>
      <c r="L19" s="3">
        <v>-0.04083450025011107</v>
      </c>
      <c r="M19" s="3">
        <v>-0.228751178498437</v>
      </c>
      <c r="N19" s="3">
        <v>-0.02481336258619473</v>
      </c>
    </row>
    <row r="20">
      <c r="A20" s="3">
        <v>40.33874527016099</v>
      </c>
      <c r="B20" s="3">
        <v>166.2903435341852</v>
      </c>
      <c r="C20" s="3">
        <v>47.68836102257742</v>
      </c>
      <c r="D20" s="3">
        <v>9.111369632882328</v>
      </c>
      <c r="E20" s="3">
        <v>4.05059771907607</v>
      </c>
      <c r="F20" s="3">
        <v>3.809277543424595</v>
      </c>
      <c r="G20" s="3">
        <f t="shared" si="1"/>
        <v>4.738387515</v>
      </c>
      <c r="H20" s="3">
        <v>0.2061229484773432</v>
      </c>
      <c r="I20" s="3">
        <v>-0.3614794945775819</v>
      </c>
      <c r="J20" s="3">
        <v>-0.5862063684802806</v>
      </c>
      <c r="K20" s="3">
        <v>-0.5182451985261272</v>
      </c>
      <c r="L20" s="3">
        <v>-0.02687840263114721</v>
      </c>
      <c r="M20" s="3">
        <v>-0.1763332399864045</v>
      </c>
      <c r="N20" s="3">
        <v>-0.0246768194355093</v>
      </c>
    </row>
    <row r="21" ht="15.75" customHeight="1">
      <c r="A21" s="3">
        <v>44.68943226407589</v>
      </c>
      <c r="B21" s="3">
        <v>183.2717255773082</v>
      </c>
      <c r="C21" s="3">
        <v>47.57979095858811</v>
      </c>
      <c r="D21" s="3">
        <v>8.830027655685347</v>
      </c>
      <c r="E21" s="3">
        <v>4.43010481697123</v>
      </c>
      <c r="F21" s="3">
        <v>4.18510701722717</v>
      </c>
      <c r="G21" s="3">
        <f t="shared" si="1"/>
        <v>4.362558041</v>
      </c>
      <c r="H21" s="3">
        <v>0.1388124689953024</v>
      </c>
      <c r="I21" s="3">
        <v>-0.5279028736909545</v>
      </c>
      <c r="J21" s="3">
        <v>-0.6721387486920208</v>
      </c>
      <c r="K21" s="3">
        <v>-0.6801869038213629</v>
      </c>
      <c r="L21" s="3">
        <v>-0.01835090053370366</v>
      </c>
      <c r="M21" s="3">
        <v>-0.2088331752040934</v>
      </c>
      <c r="N21" s="3">
        <v>-0.02848723084708154</v>
      </c>
    </row>
    <row r="22" ht="15.75" customHeight="1">
      <c r="A22" s="3">
        <v>43.73476656644259</v>
      </c>
      <c r="B22" s="3">
        <v>185.977329740481</v>
      </c>
      <c r="C22" s="3">
        <v>47.67999027864302</v>
      </c>
      <c r="D22" s="3">
        <v>8.826657208444338</v>
      </c>
      <c r="E22" s="3">
        <v>4.36978944480378</v>
      </c>
      <c r="F22" s="3">
        <v>4.083280844038484</v>
      </c>
      <c r="G22" s="3">
        <f t="shared" si="1"/>
        <v>4.464384214</v>
      </c>
      <c r="H22" s="3">
        <v>0.1507048568468894</v>
      </c>
      <c r="I22" s="3">
        <v>-0.497087604250894</v>
      </c>
      <c r="J22" s="3">
        <v>-0.6556873038473015</v>
      </c>
      <c r="K22" s="3">
        <v>-0.6513350093265087</v>
      </c>
      <c r="L22" s="3">
        <v>-0.007267022453429999</v>
      </c>
      <c r="M22" s="3">
        <v>-0.2017017558739904</v>
      </c>
      <c r="N22" s="3">
        <v>-0.02478333193321808</v>
      </c>
    </row>
    <row r="23" ht="15.75" customHeight="1">
      <c r="A23" s="3">
        <v>42.82895711939197</v>
      </c>
      <c r="B23" s="3">
        <v>197.1669621509949</v>
      </c>
      <c r="C23" s="3">
        <v>47.57163747320086</v>
      </c>
      <c r="D23" s="3">
        <v>9.249648523900865</v>
      </c>
      <c r="E23" s="3">
        <v>4.36978944480378</v>
      </c>
      <c r="F23" s="3">
        <v>4.082252119206455</v>
      </c>
      <c r="G23" s="3">
        <f t="shared" si="1"/>
        <v>4.465412939</v>
      </c>
      <c r="H23" s="3">
        <v>0.1640686734807236</v>
      </c>
      <c r="I23" s="3">
        <v>-0.4642520148329915</v>
      </c>
      <c r="J23" s="3">
        <v>-0.6382689922253346</v>
      </c>
      <c r="K23" s="3">
        <v>-0.6208896898342913</v>
      </c>
      <c r="L23" s="3">
        <v>-0.08287168050767132</v>
      </c>
      <c r="M23" s="3">
        <v>-0.1949352961424837</v>
      </c>
      <c r="N23" s="3">
        <v>-0.02880921099652586</v>
      </c>
    </row>
    <row r="24" ht="15.75" customHeight="1">
      <c r="A24" s="3">
        <v>37.84204436244347</v>
      </c>
      <c r="B24" s="3">
        <v>188.2861672874049</v>
      </c>
      <c r="C24" s="3">
        <v>47.68275072446227</v>
      </c>
      <c r="D24" s="3">
        <v>9.273794680776598</v>
      </c>
      <c r="E24" s="3">
        <v>4.602763274840811</v>
      </c>
      <c r="F24" s="3">
        <v>3.614762698420587</v>
      </c>
      <c r="G24" s="3">
        <f t="shared" si="1"/>
        <v>4.93290236</v>
      </c>
      <c r="H24" s="3">
        <v>0.2642564940652714</v>
      </c>
      <c r="I24" s="3">
        <v>-0.2285932678631464</v>
      </c>
      <c r="J24" s="3">
        <v>-0.5221343444336425</v>
      </c>
      <c r="K24" s="3">
        <v>-0.3779615485801994</v>
      </c>
      <c r="L24" s="3">
        <v>-0.03102942471637891</v>
      </c>
      <c r="M24" s="3">
        <v>-0.1576827101109492</v>
      </c>
      <c r="N24" s="3">
        <v>-0.02474820698120632</v>
      </c>
    </row>
    <row r="25" ht="15.75" customHeight="1">
      <c r="A25" s="5">
        <v>76.81886314099019</v>
      </c>
      <c r="B25" s="5">
        <v>180.7723041804855</v>
      </c>
      <c r="C25" s="5">
        <v>46.98622780785436</v>
      </c>
      <c r="D25" s="5">
        <v>6.960064305494657</v>
      </c>
      <c r="E25" s="5">
        <v>4.222492732661447</v>
      </c>
      <c r="F25" s="5">
        <v>8.36625796904359</v>
      </c>
      <c r="G25" s="5">
        <f t="shared" si="1"/>
        <v>0.1814070894</v>
      </c>
      <c r="H25" s="5">
        <v>0.01883555814541174</v>
      </c>
      <c r="I25" s="5">
        <v>-0.90068255378112</v>
      </c>
      <c r="J25" s="5">
        <v>-0.9083972660883103</v>
      </c>
      <c r="K25" s="5">
        <v>-0.9633693950629175</v>
      </c>
      <c r="L25" s="5">
        <v>-0.08085505468305709</v>
      </c>
      <c r="M25" s="5">
        <v>-0.448842264237942</v>
      </c>
      <c r="N25" s="5">
        <v>-0.05288635995129495</v>
      </c>
    </row>
    <row r="26" ht="15.75" customHeight="1">
      <c r="A26" s="3">
        <v>80.70306381421986</v>
      </c>
      <c r="B26" s="3">
        <v>180.7723041804855</v>
      </c>
      <c r="C26" s="3">
        <v>46.98622780785436</v>
      </c>
      <c r="D26" s="3">
        <v>6.960064305494657</v>
      </c>
      <c r="E26" s="3">
        <v>4.274976026372995</v>
      </c>
      <c r="F26" s="3">
        <v>9.081783199418002</v>
      </c>
      <c r="G26" s="3">
        <f t="shared" si="1"/>
        <v>0.534118141</v>
      </c>
      <c r="H26" s="3">
        <v>0.01589614381388493</v>
      </c>
      <c r="I26" s="3">
        <v>-0.9133565482197864</v>
      </c>
      <c r="J26" s="3">
        <v>-0.9186507213595553</v>
      </c>
      <c r="K26" s="3">
        <v>-0.9699284715164497</v>
      </c>
      <c r="L26" s="3">
        <v>-0.1627089737288618</v>
      </c>
      <c r="M26" s="3">
        <v>-0.477857514112049</v>
      </c>
      <c r="N26" s="3">
        <v>-0.05288635995129495</v>
      </c>
    </row>
    <row r="27" ht="15.75" customHeight="1">
      <c r="A27" s="3">
        <v>147.3376861970652</v>
      </c>
      <c r="B27" s="3">
        <v>173.8297848952607</v>
      </c>
      <c r="C27" s="3">
        <v>47.58035291390756</v>
      </c>
      <c r="D27" s="3">
        <v>8.829601457434487</v>
      </c>
      <c r="E27" s="3">
        <v>4.347766965104518</v>
      </c>
      <c r="F27" s="3">
        <v>18.77408614194646</v>
      </c>
      <c r="G27" s="3">
        <f t="shared" si="1"/>
        <v>10.22642108</v>
      </c>
      <c r="H27" s="3">
        <v>0.002557479150631713</v>
      </c>
      <c r="I27" s="3">
        <v>-0.9810762119575165</v>
      </c>
      <c r="J27" s="3">
        <v>-0.9790287419085992</v>
      </c>
      <c r="K27" s="3">
        <v>-0.9972931747938074</v>
      </c>
      <c r="L27" s="3">
        <v>-0.03346776792388353</v>
      </c>
      <c r="M27" s="3">
        <v>-0.2174970529868644</v>
      </c>
      <c r="N27" s="3">
        <v>-0.02846503929964592</v>
      </c>
    </row>
    <row r="28" ht="15.75" customHeight="1">
      <c r="A28" s="3">
        <v>140.8673472165359</v>
      </c>
      <c r="B28" s="3">
        <v>185.2247510420625</v>
      </c>
      <c r="C28" s="3">
        <v>47.71793685241538</v>
      </c>
      <c r="D28" s="3">
        <v>9.273794680776598</v>
      </c>
      <c r="E28" s="3">
        <v>4.056247549349088</v>
      </c>
      <c r="F28" s="3">
        <v>17.41227725261659</v>
      </c>
      <c r="G28" s="3">
        <f t="shared" si="1"/>
        <v>8.864612194</v>
      </c>
      <c r="H28" s="3">
        <v>0.002924552723567687</v>
      </c>
      <c r="I28" s="3">
        <v>-0.9788886862861993</v>
      </c>
      <c r="J28" s="3">
        <v>-0.9767785879254532</v>
      </c>
      <c r="K28" s="3">
        <v>-0.9967605278624138</v>
      </c>
      <c r="L28" s="3">
        <v>-0.02454533014724554</v>
      </c>
      <c r="M28" s="3">
        <v>-0.1530518751723245</v>
      </c>
      <c r="N28" s="3">
        <v>-0.02430048544027958</v>
      </c>
    </row>
    <row r="29" ht="15.75" customHeight="1">
      <c r="A29" s="3">
        <v>36.15354948408357</v>
      </c>
      <c r="B29" s="3">
        <v>194.3330925236183</v>
      </c>
      <c r="C29" s="3">
        <v>47.68157225010231</v>
      </c>
      <c r="D29" s="3">
        <v>9.265289672768509</v>
      </c>
      <c r="E29" s="3">
        <v>4.363052721452727</v>
      </c>
      <c r="F29" s="3">
        <v>3.46682286734802</v>
      </c>
      <c r="G29" s="3">
        <f t="shared" si="1"/>
        <v>5.080842191</v>
      </c>
      <c r="H29" s="3">
        <v>0.3153424404925709</v>
      </c>
      <c r="I29" s="3">
        <v>-0.1172714311949198</v>
      </c>
      <c r="J29" s="3">
        <v>-0.470956585161793</v>
      </c>
      <c r="K29" s="3">
        <v>-0.2533590147036644</v>
      </c>
      <c r="L29" s="3">
        <v>-0.009310589885133296</v>
      </c>
      <c r="M29" s="3">
        <v>-0.1450695356309536</v>
      </c>
      <c r="N29" s="3">
        <v>-0.02476320233270104</v>
      </c>
    </row>
    <row r="30" ht="15.75" customHeight="1">
      <c r="A30" s="3">
        <v>128.5171474495897</v>
      </c>
      <c r="B30" s="3">
        <v>199.6929313819754</v>
      </c>
      <c r="C30" s="3">
        <v>43.86805343748463</v>
      </c>
      <c r="D30" s="3">
        <v>10.60854225801738</v>
      </c>
      <c r="E30" s="3">
        <v>4.698054299587469</v>
      </c>
      <c r="F30" s="3">
        <v>15.70318071889137</v>
      </c>
      <c r="G30" s="3">
        <f t="shared" si="1"/>
        <v>7.15551566</v>
      </c>
      <c r="H30" s="3">
        <v>0.003861446490914749</v>
      </c>
      <c r="I30" s="3">
        <v>-0.973500915105755</v>
      </c>
      <c r="J30" s="3">
        <v>-0.9712988774982608</v>
      </c>
      <c r="K30" s="3">
        <v>-0.9953240346555533</v>
      </c>
      <c r="L30" s="3">
        <v>-0.1340642659719004</v>
      </c>
      <c r="M30" s="3">
        <v>-0.06503260849024896</v>
      </c>
      <c r="N30" s="3">
        <v>-0.06391335879479954</v>
      </c>
    </row>
    <row r="31" ht="15.75" customHeight="1">
      <c r="A31" s="3">
        <v>84.64670267151988</v>
      </c>
      <c r="B31" s="3">
        <v>188.1492801592969</v>
      </c>
      <c r="C31" s="3">
        <v>47.29263370382492</v>
      </c>
      <c r="D31" s="3">
        <v>7.586241649554621</v>
      </c>
      <c r="E31" s="3">
        <v>4.345947328032052</v>
      </c>
      <c r="F31" s="3">
        <v>9.986589708658448</v>
      </c>
      <c r="G31" s="3">
        <f t="shared" si="1"/>
        <v>1.43892465</v>
      </c>
      <c r="H31" s="3">
        <v>0.01356976473244839</v>
      </c>
      <c r="I31" s="3">
        <v>-0.9238710951321282</v>
      </c>
      <c r="J31" s="3">
        <v>-0.9273266624246232</v>
      </c>
      <c r="K31" s="3">
        <v>-0.9751529168997174</v>
      </c>
      <c r="L31" s="3">
        <v>-0.3689495306122529</v>
      </c>
      <c r="M31" s="3">
        <v>-0.5073167713657825</v>
      </c>
      <c r="N31" s="3">
        <v>-0.04492755533193767</v>
      </c>
    </row>
    <row r="32" ht="15.75" customHeight="1">
      <c r="A32" s="3">
        <v>108.1955566980348</v>
      </c>
      <c r="B32" s="3">
        <v>183.9673164900666</v>
      </c>
      <c r="C32" s="3">
        <v>46.04765818647382</v>
      </c>
      <c r="D32" s="3">
        <v>6.732854240863289</v>
      </c>
      <c r="E32" s="3">
        <v>4.993129392802012</v>
      </c>
      <c r="F32" s="3">
        <v>15.09691365122443</v>
      </c>
      <c r="G32" s="3">
        <f t="shared" si="1"/>
        <v>6.549248593</v>
      </c>
      <c r="H32" s="3">
        <v>0.006072913273273047</v>
      </c>
      <c r="I32" s="3">
        <v>-0.9605235035313403</v>
      </c>
      <c r="J32" s="3">
        <v>-0.9599812391387367</v>
      </c>
      <c r="K32" s="3">
        <v>-0.9906915388560353</v>
      </c>
      <c r="L32" s="3">
        <v>-0.7179508677418508</v>
      </c>
      <c r="M32" s="3">
        <v>-0.6832283530040361</v>
      </c>
      <c r="N32" s="3">
        <v>-0.04724664279040112</v>
      </c>
    </row>
    <row r="33" ht="15.75" customHeight="1">
      <c r="A33" s="3">
        <v>67.1948275341827</v>
      </c>
      <c r="B33" s="3">
        <v>177.2639508936412</v>
      </c>
      <c r="C33" s="3">
        <v>47.11678959143678</v>
      </c>
      <c r="D33" s="3">
        <v>8.80275734958514</v>
      </c>
      <c r="E33" s="3">
        <v>4.37347893311633</v>
      </c>
      <c r="F33" s="3">
        <v>7.138460616030381</v>
      </c>
      <c r="G33" s="3">
        <f t="shared" si="1"/>
        <v>1.409204442</v>
      </c>
      <c r="H33" s="3">
        <v>0.03060784304504892</v>
      </c>
      <c r="I33" s="3">
        <v>-0.8545772587596334</v>
      </c>
      <c r="J33" s="3">
        <v>-0.8729257209711475</v>
      </c>
      <c r="K33" s="3">
        <v>-0.9374291263109558</v>
      </c>
      <c r="L33" s="3">
        <v>-0.2994852339566031</v>
      </c>
      <c r="M33" s="3">
        <v>-0.3769500471716613</v>
      </c>
      <c r="N33" s="3">
        <v>-0.05263754419429196</v>
      </c>
    </row>
    <row r="34" ht="15.75" customHeight="1">
      <c r="A34" s="3">
        <v>106.3360373738393</v>
      </c>
      <c r="B34" s="3">
        <v>176.9478401660754</v>
      </c>
      <c r="C34" s="3">
        <v>45.19981349790867</v>
      </c>
      <c r="D34" s="3">
        <v>7.005138648849123</v>
      </c>
      <c r="E34" s="3">
        <v>4.498291109749794</v>
      </c>
      <c r="F34" s="3">
        <v>14.69252296290771</v>
      </c>
      <c r="G34" s="3">
        <f t="shared" si="1"/>
        <v>6.144857904</v>
      </c>
      <c r="H34" s="3">
        <v>0.006418546521413752</v>
      </c>
      <c r="I34" s="3">
        <v>-0.9586875593431016</v>
      </c>
      <c r="J34" s="3">
        <v>-0.9582465461376273</v>
      </c>
      <c r="K34" s="3">
        <v>-0.9900231439850492</v>
      </c>
      <c r="L34" s="3">
        <v>-0.6944294111556818</v>
      </c>
      <c r="M34" s="3">
        <v>-0.6693376139881237</v>
      </c>
      <c r="N34" s="3">
        <v>-0.05783421995829053</v>
      </c>
    </row>
    <row r="35" ht="15.75" customHeight="1">
      <c r="A35" s="3">
        <v>35.59802049694886</v>
      </c>
      <c r="B35" s="3">
        <v>196.2937063210124</v>
      </c>
      <c r="C35" s="3">
        <v>47.69787490699126</v>
      </c>
      <c r="D35" s="3">
        <v>9.26485060011231</v>
      </c>
      <c r="E35" s="3">
        <v>4.370898768114594</v>
      </c>
      <c r="F35" s="3">
        <v>3.420779253813456</v>
      </c>
      <c r="G35" s="3">
        <f t="shared" si="1"/>
        <v>5.126885805</v>
      </c>
      <c r="H35" s="3">
        <v>0.3348948120884023</v>
      </c>
      <c r="I35" s="3">
        <v>-0.07589736280190491</v>
      </c>
      <c r="J35" s="3">
        <v>-0.4524183476698708</v>
      </c>
      <c r="K35" s="3">
        <v>-0.2056494540000608</v>
      </c>
      <c r="L35" s="3">
        <v>-0.002995781105762347</v>
      </c>
      <c r="M35" s="3">
        <v>-0.1409196953600542</v>
      </c>
      <c r="N35" s="3">
        <v>-0.02455576118790545</v>
      </c>
    </row>
    <row r="36" ht="15.75" customHeight="1">
      <c r="A36" s="3">
        <v>128.5171474495897</v>
      </c>
      <c r="B36" s="3">
        <v>181.4919831693612</v>
      </c>
      <c r="C36" s="3">
        <v>43.86805343748463</v>
      </c>
      <c r="D36" s="3">
        <v>9.847811021718616</v>
      </c>
      <c r="E36" s="3">
        <v>4.733602542184555</v>
      </c>
      <c r="F36" s="3">
        <v>16.13841227633086</v>
      </c>
      <c r="G36" s="3">
        <f t="shared" si="1"/>
        <v>7.590747218</v>
      </c>
      <c r="H36" s="3">
        <v>0.003811458348360444</v>
      </c>
      <c r="I36" s="3">
        <v>-0.9736782692130028</v>
      </c>
      <c r="J36" s="3">
        <v>-0.9716693262594729</v>
      </c>
      <c r="K36" s="3">
        <v>-0.9953240346555533</v>
      </c>
      <c r="L36" s="3">
        <v>-0.1116897201329509</v>
      </c>
      <c r="M36" s="3">
        <v>-0.1014518488353199</v>
      </c>
      <c r="N36" s="3">
        <v>-0.06391335879479954</v>
      </c>
    </row>
    <row r="37" ht="15.75" customHeight="1">
      <c r="A37" s="3">
        <v>82.25885315750662</v>
      </c>
      <c r="B37" s="3">
        <v>185.4372032994348</v>
      </c>
      <c r="C37" s="3">
        <v>44.63078627126456</v>
      </c>
      <c r="D37" s="3">
        <v>6.960064305494657</v>
      </c>
      <c r="E37" s="3">
        <v>4.296208226863588</v>
      </c>
      <c r="F37" s="3">
        <v>9.36821070382834</v>
      </c>
      <c r="G37" s="3">
        <f t="shared" si="1"/>
        <v>0.8205456454</v>
      </c>
      <c r="H37" s="3">
        <v>0.01488920551754388</v>
      </c>
      <c r="I37" s="3">
        <v>-0.9178038206492766</v>
      </c>
      <c r="J37" s="3">
        <v>-0.922327250296722</v>
      </c>
      <c r="K37" s="3">
        <v>-0.9721397510910162</v>
      </c>
      <c r="L37" s="3">
        <v>-0.1532915953214046</v>
      </c>
      <c r="M37" s="3">
        <v>-0.4894793689914993</v>
      </c>
      <c r="N37" s="3">
        <v>-0.07905134919309902</v>
      </c>
    </row>
    <row r="38" ht="15.75" customHeight="1">
      <c r="A38" s="3">
        <v>105.4290598236789</v>
      </c>
      <c r="B38" s="3">
        <v>155.8756995336709</v>
      </c>
      <c r="C38" s="3">
        <v>47.70658981525987</v>
      </c>
      <c r="D38" s="3">
        <v>5.027108003798061</v>
      </c>
      <c r="E38" s="3">
        <v>4.474495264049784</v>
      </c>
      <c r="F38" s="3">
        <v>14.0509906992627</v>
      </c>
      <c r="G38" s="3">
        <f t="shared" si="1"/>
        <v>5.503325641</v>
      </c>
      <c r="H38" s="3">
        <v>0.006550974061361475</v>
      </c>
      <c r="I38" s="3">
        <v>-0.9578835808100974</v>
      </c>
      <c r="J38" s="3">
        <v>-0.9576014049087045</v>
      </c>
      <c r="K38" s="3">
        <v>-0.9896753756598802</v>
      </c>
      <c r="L38" s="3">
        <v>-0.4025720307122051</v>
      </c>
      <c r="M38" s="3">
        <v>-0.6625624284449351</v>
      </c>
      <c r="N38" s="3">
        <v>-0.02444486941361727</v>
      </c>
    </row>
    <row r="39" ht="15.75" customHeight="1">
      <c r="A39" s="3">
        <v>136.9790261218728</v>
      </c>
      <c r="B39" s="3">
        <v>184.6184317787692</v>
      </c>
      <c r="C39" s="3">
        <v>44.44376495742539</v>
      </c>
      <c r="D39" s="3">
        <v>9.847811021718616</v>
      </c>
      <c r="E39" s="3">
        <v>4.552270759773377</v>
      </c>
      <c r="F39" s="3">
        <v>16.68542663123455</v>
      </c>
      <c r="G39" s="3">
        <f t="shared" si="1"/>
        <v>8.137761573</v>
      </c>
      <c r="H39" s="3">
        <v>0.003189420371710723</v>
      </c>
      <c r="I39" s="3">
        <v>-0.9773549142493201</v>
      </c>
      <c r="J39" s="3">
        <v>-0.975172182795455</v>
      </c>
      <c r="K39" s="3">
        <v>-0.9963767416913486</v>
      </c>
      <c r="L39" s="3">
        <v>-0.01328544770118468</v>
      </c>
      <c r="M39" s="3">
        <v>-0.1143238355596164</v>
      </c>
      <c r="N39" s="3">
        <v>-0.07320830010812017</v>
      </c>
    </row>
    <row r="40" ht="15.75" customHeight="1">
      <c r="A40" s="3">
        <v>101.0473464165112</v>
      </c>
      <c r="B40" s="3">
        <v>196.8004913615723</v>
      </c>
      <c r="C40" s="3">
        <v>42.22484564910261</v>
      </c>
      <c r="D40" s="3">
        <v>5.027108003798061</v>
      </c>
      <c r="E40" s="3">
        <v>4.495152933649319</v>
      </c>
      <c r="F40" s="3">
        <v>12.99041234703494</v>
      </c>
      <c r="G40" s="3">
        <f t="shared" si="1"/>
        <v>4.442747289</v>
      </c>
      <c r="H40" s="3">
        <v>0.007491205381128694</v>
      </c>
      <c r="I40" s="3">
        <v>-0.9529399700851306</v>
      </c>
      <c r="J40" s="3">
        <v>-0.9530476560591716</v>
      </c>
      <c r="K40" s="3">
        <v>-0.9877646628452924</v>
      </c>
      <c r="L40" s="3">
        <v>-0.1291405489217817</v>
      </c>
      <c r="M40" s="3">
        <v>-0.6298307237567778</v>
      </c>
      <c r="N40" s="3">
        <v>-0.08972450502067388</v>
      </c>
    </row>
    <row r="41" ht="15.75" customHeight="1">
      <c r="A41" s="3">
        <v>35.50609892291511</v>
      </c>
      <c r="B41" s="3">
        <v>197.5955070706344</v>
      </c>
      <c r="C41" s="3">
        <v>47.67577327534712</v>
      </c>
      <c r="D41" s="3">
        <v>9.264691708435809</v>
      </c>
      <c r="E41" s="3">
        <v>4.36523624234187</v>
      </c>
      <c r="F41" s="3">
        <v>3.412204090074716</v>
      </c>
      <c r="G41" s="3">
        <f t="shared" si="1"/>
        <v>5.135460968</v>
      </c>
      <c r="H41" s="3">
        <v>0.3382565997469306</v>
      </c>
      <c r="I41" s="3">
        <v>-0.06882155833838759</v>
      </c>
      <c r="J41" s="3">
        <v>-0.4492754411477295</v>
      </c>
      <c r="K41" s="3">
        <v>-0.1973914928933475</v>
      </c>
      <c r="L41" s="3">
        <v>-0.001422520746642433</v>
      </c>
      <c r="M41" s="3">
        <v>-0.1402330347923361</v>
      </c>
      <c r="N41" s="3">
        <v>-0.02483699067101002</v>
      </c>
    </row>
    <row r="42" ht="15.75" customHeight="1">
      <c r="A42" s="3">
        <v>38.26664710482962</v>
      </c>
      <c r="B42" s="3">
        <v>192.509465053031</v>
      </c>
      <c r="C42" s="3">
        <v>47.67285846450469</v>
      </c>
      <c r="D42" s="3">
        <v>9.129612504787442</v>
      </c>
      <c r="E42" s="3">
        <v>4.356417904965642</v>
      </c>
      <c r="F42" s="3">
        <v>3.621995409406952</v>
      </c>
      <c r="G42" s="3">
        <f t="shared" si="1"/>
        <v>4.925669649</v>
      </c>
      <c r="H42" s="3">
        <v>0.2526450100950439</v>
      </c>
      <c r="I42" s="3">
        <v>-0.2540696562997514</v>
      </c>
      <c r="J42" s="3">
        <v>-0.5342195910290415</v>
      </c>
      <c r="K42" s="3">
        <v>-0.4051137263122054</v>
      </c>
      <c r="L42" s="3">
        <v>-0.005263949679221086</v>
      </c>
      <c r="M42" s="3">
        <v>-0.1608545222040976</v>
      </c>
      <c r="N42" s="3">
        <v>-0.0248740798217006</v>
      </c>
    </row>
    <row r="43" ht="15.75" customHeight="1">
      <c r="A43" s="3">
        <v>66.01553305584012</v>
      </c>
      <c r="B43" s="3">
        <v>194.4584477015674</v>
      </c>
      <c r="C43" s="3">
        <v>47.68122022830644</v>
      </c>
      <c r="D43" s="3">
        <v>8.761052004173447</v>
      </c>
      <c r="E43" s="3">
        <v>4.372184717379922</v>
      </c>
      <c r="F43" s="3">
        <v>6.929288744276488</v>
      </c>
      <c r="G43" s="3">
        <f t="shared" si="1"/>
        <v>1.618376314</v>
      </c>
      <c r="H43" s="3">
        <v>0.03258395590927114</v>
      </c>
      <c r="I43" s="3">
        <v>-0.8471469667386595</v>
      </c>
      <c r="J43" s="3">
        <v>-0.8675361017388319</v>
      </c>
      <c r="K43" s="3">
        <v>-0.9328368501343832</v>
      </c>
      <c r="L43" s="3">
        <v>-0.2856741998619137</v>
      </c>
      <c r="M43" s="3">
        <v>-0.3681406351863086</v>
      </c>
      <c r="N43" s="3">
        <v>-0.02476768159058023</v>
      </c>
    </row>
    <row r="44" ht="15.75" customHeight="1">
      <c r="A44" s="3">
        <v>40.28096165393924</v>
      </c>
      <c r="B44" s="3">
        <v>192.7146280151983</v>
      </c>
      <c r="C44" s="3">
        <v>46.30901827159837</v>
      </c>
      <c r="D44" s="3">
        <v>9.129321689794493</v>
      </c>
      <c r="E44" s="3">
        <v>4.521946333566053</v>
      </c>
      <c r="F44" s="3">
        <v>3.804122733772766</v>
      </c>
      <c r="G44" s="3">
        <f t="shared" si="1"/>
        <v>4.743542325</v>
      </c>
      <c r="H44" s="3">
        <v>0.2072798026067539</v>
      </c>
      <c r="I44" s="3">
        <v>-0.3587634191181252</v>
      </c>
      <c r="J44" s="3">
        <v>-0.5848621585469745</v>
      </c>
      <c r="K44" s="3">
        <v>-0.5154749079735464</v>
      </c>
      <c r="L44" s="3">
        <v>-0.001357837116673268</v>
      </c>
      <c r="M44" s="3">
        <v>-0.1759015923439799</v>
      </c>
      <c r="N44" s="3">
        <v>-0.04244830687586797</v>
      </c>
    </row>
    <row r="45" ht="15.75" customHeight="1">
      <c r="A45" s="3">
        <v>47.08074804802235</v>
      </c>
      <c r="B45" s="3">
        <v>188.6390630470627</v>
      </c>
      <c r="C45" s="3">
        <v>47.67763019028104</v>
      </c>
      <c r="D45" s="3">
        <v>8.764590392985774</v>
      </c>
      <c r="E45" s="3">
        <v>4.340573704535188</v>
      </c>
      <c r="F45" s="3">
        <v>4.425564227436982</v>
      </c>
      <c r="G45" s="3">
        <f t="shared" si="1"/>
        <v>4.122100831</v>
      </c>
      <c r="H45" s="3">
        <v>0.1137859898226698</v>
      </c>
      <c r="I45" s="3">
        <v>-0.5947872238899747</v>
      </c>
      <c r="J45" s="3">
        <v>-0.7089615639326722</v>
      </c>
      <c r="K45" s="3">
        <v>-0.7403775910566461</v>
      </c>
      <c r="L45" s="3">
        <v>-0.03721384222563678</v>
      </c>
      <c r="M45" s="3">
        <v>-0.2266964708564805</v>
      </c>
      <c r="N45" s="3">
        <v>-0.02481336258619473</v>
      </c>
    </row>
    <row r="46" ht="15.75" customHeight="1">
      <c r="A46" s="3">
        <v>144.78122662233</v>
      </c>
      <c r="B46" s="3">
        <v>167.12622827859</v>
      </c>
      <c r="C46" s="3">
        <v>47.84869381073645</v>
      </c>
      <c r="D46" s="3">
        <v>8.960004714208726</v>
      </c>
      <c r="E46" s="3">
        <v>4.496166707560175</v>
      </c>
      <c r="F46" s="3">
        <v>18.22335056213726</v>
      </c>
      <c r="G46" s="3">
        <f t="shared" si="1"/>
        <v>9.675685504</v>
      </c>
      <c r="H46" s="3">
        <v>0.002693550387774648</v>
      </c>
      <c r="I46" s="3">
        <v>-0.980257966845106</v>
      </c>
      <c r="J46" s="3">
        <v>-0.9781896953545588</v>
      </c>
      <c r="K46" s="3">
        <v>-0.9970968693125316</v>
      </c>
      <c r="L46" s="3">
        <v>-0.02369087902460508</v>
      </c>
      <c r="M46" s="3">
        <v>-0.192034477940137</v>
      </c>
      <c r="N46" s="3">
        <v>-0.02027609390093972</v>
      </c>
    </row>
    <row r="47" ht="15.75" customHeight="1">
      <c r="A47" s="3">
        <v>53.02521908517768</v>
      </c>
      <c r="B47" s="3">
        <v>194.2958426265508</v>
      </c>
      <c r="C47" s="3">
        <v>47.50541877031687</v>
      </c>
      <c r="D47" s="3">
        <v>8.291857785102954</v>
      </c>
      <c r="E47" s="3">
        <v>4.69310565076043</v>
      </c>
      <c r="F47" s="3">
        <v>5.022218573421315</v>
      </c>
      <c r="G47" s="3">
        <f t="shared" si="1"/>
        <v>3.525446485</v>
      </c>
      <c r="H47" s="3">
        <v>0.0724206415757366</v>
      </c>
      <c r="I47" s="3">
        <v>-0.7138109934691107</v>
      </c>
      <c r="J47" s="3">
        <v>-0.7790657369015147</v>
      </c>
      <c r="K47" s="3">
        <v>-0.8386437815328779</v>
      </c>
      <c r="L47" s="3">
        <v>-0.008523538726678982</v>
      </c>
      <c r="M47" s="3">
        <v>-0.2711020840116418</v>
      </c>
      <c r="N47" s="3">
        <v>-0.03122575668959845</v>
      </c>
    </row>
    <row r="48" ht="15.75" customHeight="1">
      <c r="A48" s="3">
        <v>104.0712625623562</v>
      </c>
      <c r="B48" s="3">
        <v>195.5616247753455</v>
      </c>
      <c r="C48" s="3">
        <v>44.71262288356765</v>
      </c>
      <c r="D48" s="3">
        <v>5.027108003798061</v>
      </c>
      <c r="E48" s="3">
        <v>4.998367013447867</v>
      </c>
      <c r="F48" s="3">
        <v>13.71904030339139</v>
      </c>
      <c r="G48" s="3">
        <f t="shared" si="1"/>
        <v>5.171375245</v>
      </c>
      <c r="H48" s="3">
        <v>0.006823580432389299</v>
      </c>
      <c r="I48" s="3">
        <v>-0.956436833151692</v>
      </c>
      <c r="J48" s="3">
        <v>-0.9562610340690072</v>
      </c>
      <c r="K48" s="3">
        <v>-0.9891259255972417</v>
      </c>
      <c r="L48" s="3">
        <v>-0.3053236322828634</v>
      </c>
      <c r="M48" s="3">
        <v>-0.6524195882237326</v>
      </c>
      <c r="N48" s="3">
        <v>-0.07668354026736382</v>
      </c>
    </row>
    <row r="49" ht="15.75" customHeight="1">
      <c r="A49" s="3">
        <v>102.3714829197452</v>
      </c>
      <c r="B49" s="3">
        <v>195.195428218119</v>
      </c>
      <c r="C49" s="3">
        <v>42.22484564910261</v>
      </c>
      <c r="D49" s="3">
        <v>5.027108003798061</v>
      </c>
      <c r="E49" s="3">
        <v>4.36218869987753</v>
      </c>
      <c r="F49" s="3">
        <v>13.30540917898393</v>
      </c>
      <c r="G49" s="3">
        <f t="shared" si="1"/>
        <v>4.757744121</v>
      </c>
      <c r="H49" s="3">
        <v>0.00718784518645584</v>
      </c>
      <c r="I49" s="3">
        <v>-0.954520698591529</v>
      </c>
      <c r="J49" s="3">
        <v>-0.9544961463707317</v>
      </c>
      <c r="K49" s="3">
        <v>-0.9883855241308742</v>
      </c>
      <c r="L49" s="3">
        <v>-0.1884508264701167</v>
      </c>
      <c r="M49" s="3">
        <v>-0.6397221157678954</v>
      </c>
      <c r="N49" s="3">
        <v>-0.08972450502067388</v>
      </c>
    </row>
    <row r="50" ht="15.75" customHeight="1">
      <c r="A50" s="3">
        <v>42.07156653074696</v>
      </c>
      <c r="B50" s="3">
        <v>167.12622827859</v>
      </c>
      <c r="C50" s="3">
        <v>47.68380463712487</v>
      </c>
      <c r="D50" s="3">
        <v>8.938696535812278</v>
      </c>
      <c r="E50" s="3">
        <v>4.496166707560175</v>
      </c>
      <c r="F50" s="3">
        <v>3.939971710502528</v>
      </c>
      <c r="G50" s="3">
        <f t="shared" si="1"/>
        <v>4.607693348</v>
      </c>
      <c r="H50" s="3">
        <v>0.1750227669097336</v>
      </c>
      <c r="I50" s="3">
        <v>-0.4361997502901592</v>
      </c>
      <c r="J50" s="3">
        <v>-0.6239224936631362</v>
      </c>
      <c r="K50" s="3">
        <v>-0.5928439798426302</v>
      </c>
      <c r="L50" s="3">
        <v>-0.01092098909004935</v>
      </c>
      <c r="M50" s="3">
        <v>-0.1892775356325048</v>
      </c>
      <c r="N50" s="3">
        <v>-0.02473479659965117</v>
      </c>
    </row>
    <row r="51" ht="15.75" customHeight="1">
      <c r="A51" s="3">
        <v>138.5545411333666</v>
      </c>
      <c r="B51" s="3">
        <v>183.5968810054068</v>
      </c>
      <c r="C51" s="3">
        <v>47.69877429830562</v>
      </c>
      <c r="D51" s="3">
        <v>10.15805611287518</v>
      </c>
      <c r="E51" s="3">
        <v>4.549981039011663</v>
      </c>
      <c r="F51" s="3">
        <v>17.09271013418888</v>
      </c>
      <c r="G51" s="3">
        <f t="shared" si="1"/>
        <v>8.545045076</v>
      </c>
      <c r="H51" s="3">
        <v>0.003088452805528399</v>
      </c>
      <c r="I51" s="3">
        <v>-0.9779559523598292</v>
      </c>
      <c r="J51" s="3">
        <v>-0.9757508477397789</v>
      </c>
      <c r="K51" s="3">
        <v>-0.9965387534488965</v>
      </c>
      <c r="L51" s="3">
        <v>-0.1557261257118748</v>
      </c>
      <c r="M51" s="3">
        <v>-0.1300161115548515</v>
      </c>
      <c r="N51" s="3">
        <v>-0.02454431699416776</v>
      </c>
    </row>
    <row r="52" ht="15.75" customHeight="1">
      <c r="F52" s="3">
        <f>AVERAGE(F2:F51)</f>
        <v>8.547665058</v>
      </c>
      <c r="G52" s="3">
        <f>SMALL(G2:G51,1)</f>
        <v>0.1814070894</v>
      </c>
    </row>
    <row r="53" ht="15.75" customHeight="1">
      <c r="F53" s="3">
        <f>SMALL(F2:F51,1)</f>
        <v>3.357098061</v>
      </c>
    </row>
    <row r="54" ht="15.75" customHeight="1">
      <c r="F54" s="3">
        <f>LARGE(F2:F51,1)</f>
        <v>19.36884233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2026-08-29T02:34:35Z</dcterms:created>
  <dc:creator>openpyxl</dc:creator>
</cp:coreProperties>
</file>