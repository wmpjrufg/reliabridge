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7ScIkNp6N9s3xTMsbH5DWTXunqhxwn/K72mlFUiwdrE="/>
    </ext>
  </extLst>
</workbook>
</file>

<file path=xl/sharedStrings.xml><?xml version="1.0" encoding="utf-8"?>
<sst xmlns="http://schemas.openxmlformats.org/spreadsheetml/2006/main" count="13" uniqueCount="13">
  <si>
    <t>d_cm</t>
  </si>
  <si>
    <t>esp_cm</t>
  </si>
  <si>
    <t>bw_cm</t>
  </si>
  <si>
    <t>h_cm</t>
  </si>
  <si>
    <t>esp_tab_cm</t>
  </si>
  <si>
    <t>of_volume_m3</t>
  </si>
  <si>
    <t>of_fator_flecha</t>
  </si>
  <si>
    <t>longarina_g_m</t>
  </si>
  <si>
    <t>longarina_g_v</t>
  </si>
  <si>
    <t>longarina_g_f</t>
  </si>
  <si>
    <t>tabuleiro_g_m</t>
  </si>
  <si>
    <t>longarina_g_esp</t>
  </si>
  <si>
    <t>tabuleiro_g_esp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</si>
</sst>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  <xf borderId="0" fillId="3" fontId="2" numFmtId="0" xfId="0" applyFill="1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2.29"/>
    <col customWidth="1" min="6" max="6" width="14.29"/>
    <col customWidth="1" min="7" max="8" width="15.43"/>
    <col customWidth="1" min="9" max="9" width="16.14"/>
    <col customWidth="1" min="10" max="11" width="14.0"/>
    <col customWidth="1" min="12" max="12" width="16.14"/>
    <col customWidth="1" min="13" max="13" width="15.43"/>
    <col customWidth="1" min="14" max="14" width="17.14"/>
    <col customWidth="1" min="15" max="15" width="8.71"/>
    <col customWidth="1" min="16" max="16" width="16.14"/>
    <col customWidth="1" min="17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2">
        <v>43.20917866133063</v>
      </c>
      <c r="B2" s="2">
        <v>112.6426829766593</v>
      </c>
      <c r="C2" s="2">
        <v>46.02643444213962</v>
      </c>
      <c r="D2" s="2">
        <v>8.532798916019464</v>
      </c>
      <c r="E2" s="2">
        <v>3.01690986757097</v>
      </c>
      <c r="F2" s="2">
        <v>4.693511941152072</v>
      </c>
      <c r="G2" s="2">
        <f t="shared" ref="G2:G51" si="1">ABS(F2-$F$52)</f>
        <v>4.380909136</v>
      </c>
      <c r="H2" s="2">
        <v>0.227226026720011</v>
      </c>
      <c r="I2" s="2">
        <v>-0.001726908378476447</v>
      </c>
      <c r="J2" s="2">
        <v>-0.4589736129259491</v>
      </c>
      <c r="K2" s="2">
        <v>-0.4053452198703935</v>
      </c>
      <c r="L2" s="2">
        <v>-0.08981079852699686</v>
      </c>
      <c r="M2" s="2">
        <v>-0.5369116245098585</v>
      </c>
      <c r="N2" s="2">
        <v>-0.04753725977573293</v>
      </c>
    </row>
    <row r="3">
      <c r="A3" s="3">
        <v>43.20917866133063</v>
      </c>
      <c r="B3" s="3">
        <v>114.7046130844553</v>
      </c>
      <c r="C3" s="3">
        <v>46.02643444213962</v>
      </c>
      <c r="D3" s="3">
        <v>8.532798916019464</v>
      </c>
      <c r="E3" s="3">
        <v>3.01690986757097</v>
      </c>
      <c r="F3" s="3">
        <v>4.693511941152072</v>
      </c>
      <c r="G3" s="3">
        <f t="shared" si="1"/>
        <v>4.380909136</v>
      </c>
      <c r="H3" s="3">
        <v>0.227226026720011</v>
      </c>
      <c r="I3" s="3">
        <v>-0.001726908378476447</v>
      </c>
      <c r="J3" s="3">
        <v>-0.4589736129259491</v>
      </c>
      <c r="K3" s="3">
        <v>-0.4053452198703935</v>
      </c>
      <c r="L3" s="3">
        <v>-0.08981079852699686</v>
      </c>
      <c r="M3" s="3">
        <v>-0.5369116245098585</v>
      </c>
      <c r="N3" s="3">
        <v>-0.04753725977573293</v>
      </c>
      <c r="P3" s="3">
        <f>LARGE(I2:N5,1)</f>
        <v>-0.001726908378</v>
      </c>
    </row>
    <row r="4">
      <c r="A4" s="4">
        <v>149.9977912871648</v>
      </c>
      <c r="B4" s="4">
        <v>145.7548575811035</v>
      </c>
      <c r="C4" s="4">
        <v>47.68094156606036</v>
      </c>
      <c r="D4" s="4">
        <v>12.03258024549667</v>
      </c>
      <c r="E4" s="4">
        <v>2.748776553669447</v>
      </c>
      <c r="F4" s="4">
        <v>20.05838685899903</v>
      </c>
      <c r="G4" s="4">
        <f t="shared" si="1"/>
        <v>10.98396578</v>
      </c>
      <c r="H4" s="4">
        <v>0.003024777230979806</v>
      </c>
      <c r="I4" s="4">
        <v>-0.96852917412167</v>
      </c>
      <c r="J4" s="4">
        <v>-0.9772924329609637</v>
      </c>
      <c r="K4" s="4">
        <v>-0.9959052300988361</v>
      </c>
      <c r="L4" s="4">
        <v>-0.01188853638208244</v>
      </c>
      <c r="M4" s="4">
        <v>-0.2439919470028823</v>
      </c>
      <c r="N4" s="4">
        <v>-0.02477122739392602</v>
      </c>
    </row>
    <row r="5">
      <c r="A5" s="3">
        <v>149.9977912871648</v>
      </c>
      <c r="B5" s="3">
        <v>142.1230019107752</v>
      </c>
      <c r="C5" s="3">
        <v>47.68094156606036</v>
      </c>
      <c r="D5" s="3">
        <v>12.03258024549667</v>
      </c>
      <c r="E5" s="3">
        <v>2.746091086288198</v>
      </c>
      <c r="F5" s="3">
        <v>20.05838685899903</v>
      </c>
      <c r="G5" s="3">
        <f t="shared" si="1"/>
        <v>10.98396578</v>
      </c>
      <c r="H5" s="3">
        <v>0.003024777230979806</v>
      </c>
      <c r="I5" s="3">
        <v>-0.96852917412167</v>
      </c>
      <c r="J5" s="3">
        <v>-0.9772924329609637</v>
      </c>
      <c r="K5" s="3">
        <v>-0.9959052300988361</v>
      </c>
      <c r="L5" s="3">
        <v>-0.01188853638208244</v>
      </c>
      <c r="M5" s="3">
        <v>-0.2439919470028823</v>
      </c>
      <c r="N5" s="3">
        <v>-0.02477122739392602</v>
      </c>
    </row>
    <row r="6">
      <c r="A6" s="3">
        <v>44.52408441604693</v>
      </c>
      <c r="B6" s="3">
        <v>114.7046130844553</v>
      </c>
      <c r="C6" s="3">
        <v>46.04004364543394</v>
      </c>
      <c r="D6" s="3">
        <v>8.557943677858654</v>
      </c>
      <c r="E6" s="3">
        <v>3.105310340371344</v>
      </c>
      <c r="F6" s="3">
        <v>4.879171427647328</v>
      </c>
      <c r="G6" s="3">
        <f t="shared" si="1"/>
        <v>4.19524965</v>
      </c>
      <c r="H6" s="3">
        <v>0.2023782486848144</v>
      </c>
      <c r="I6" s="3">
        <v>-0.0863031343142394</v>
      </c>
      <c r="J6" s="3">
        <v>-0.4951216183420671</v>
      </c>
      <c r="K6" s="3">
        <v>-0.47254068200543</v>
      </c>
      <c r="L6" s="3">
        <v>-0.1285879183392463</v>
      </c>
      <c r="M6" s="3">
        <v>-0.5456426802218858</v>
      </c>
      <c r="N6" s="3">
        <v>-0.04735090879204805</v>
      </c>
    </row>
    <row r="7">
      <c r="A7" s="3">
        <v>54.15528617314281</v>
      </c>
      <c r="B7" s="3">
        <v>148.9157539072026</v>
      </c>
      <c r="C7" s="3">
        <v>47.5082497132051</v>
      </c>
      <c r="D7" s="3">
        <v>11.57941334905566</v>
      </c>
      <c r="E7" s="3">
        <v>2.907424511623315</v>
      </c>
      <c r="F7" s="3">
        <v>5.851544902388663</v>
      </c>
      <c r="G7" s="3">
        <f t="shared" si="1"/>
        <v>3.222876175</v>
      </c>
      <c r="H7" s="3">
        <v>0.1007903876578569</v>
      </c>
      <c r="I7" s="3">
        <v>-0.4765815515198557</v>
      </c>
      <c r="J7" s="3">
        <v>-0.6742176145299545</v>
      </c>
      <c r="K7" s="3">
        <v>-0.7590063838722704</v>
      </c>
      <c r="L7" s="3">
        <v>-0.001166335543332707</v>
      </c>
      <c r="M7" s="3">
        <v>-0.2795437639582518</v>
      </c>
      <c r="N7" s="3">
        <v>-0.0311872273619268</v>
      </c>
    </row>
    <row r="8">
      <c r="A8" s="3">
        <v>138.8370165163388</v>
      </c>
      <c r="B8" s="3">
        <v>136.4453295959767</v>
      </c>
      <c r="C8" s="3">
        <v>47.43271933768283</v>
      </c>
      <c r="D8" s="3">
        <v>13.78408020907119</v>
      </c>
      <c r="E8" s="3">
        <v>2.692683591709171</v>
      </c>
      <c r="F8" s="3">
        <v>17.92613227469604</v>
      </c>
      <c r="G8" s="3">
        <f t="shared" si="1"/>
        <v>8.851711197</v>
      </c>
      <c r="H8" s="3">
        <v>0.00389723513878338</v>
      </c>
      <c r="I8" s="3">
        <v>-0.9613935351206461</v>
      </c>
      <c r="J8" s="3">
        <v>-0.9710932663787186</v>
      </c>
      <c r="K8" s="3">
        <v>-0.9944211090954523</v>
      </c>
      <c r="L8" s="3">
        <v>-0.08315070368993312</v>
      </c>
      <c r="M8" s="3">
        <v>-0.1328295926319104</v>
      </c>
      <c r="N8" s="3">
        <v>-0.03388384873638279</v>
      </c>
    </row>
    <row r="9">
      <c r="A9" s="3">
        <v>43.41955000970209</v>
      </c>
      <c r="B9" s="3">
        <v>114.7046130844553</v>
      </c>
      <c r="C9" s="3">
        <v>45.99726663066412</v>
      </c>
      <c r="D9" s="3">
        <v>8.507427059749359</v>
      </c>
      <c r="E9" s="3">
        <v>2.765825424363331</v>
      </c>
      <c r="F9" s="3">
        <v>4.715502654607459</v>
      </c>
      <c r="G9" s="3">
        <f t="shared" si="1"/>
        <v>4.358918423</v>
      </c>
      <c r="H9" s="3">
        <v>0.2229618276406052</v>
      </c>
      <c r="I9" s="3">
        <v>-0.01600439870915228</v>
      </c>
      <c r="J9" s="3">
        <v>-0.4650223909517954</v>
      </c>
      <c r="K9" s="3">
        <v>-0.416786341964872</v>
      </c>
      <c r="L9" s="3">
        <v>-0.08918413298440313</v>
      </c>
      <c r="M9" s="3">
        <v>-0.5383085033023176</v>
      </c>
      <c r="N9" s="3">
        <v>-0.0479366549675633</v>
      </c>
    </row>
    <row r="10">
      <c r="A10" s="3">
        <v>132.9972405258179</v>
      </c>
      <c r="B10" s="3">
        <v>178.3595981061655</v>
      </c>
      <c r="C10" s="3">
        <v>52.39014929176128</v>
      </c>
      <c r="D10" s="3">
        <v>14.91963178351288</v>
      </c>
      <c r="E10" s="3">
        <v>2.928395278767981</v>
      </c>
      <c r="F10" s="3">
        <v>16.9527700363259</v>
      </c>
      <c r="G10" s="3">
        <f t="shared" si="1"/>
        <v>7.878348959</v>
      </c>
      <c r="H10" s="3">
        <v>0.004511233702365512</v>
      </c>
      <c r="I10" s="3">
        <v>-0.9566221044969407</v>
      </c>
      <c r="J10" s="3">
        <v>-0.9669322934753246</v>
      </c>
      <c r="K10" s="3">
        <v>-0.9933748084666051</v>
      </c>
      <c r="L10" s="3">
        <v>-0.2256156571433852</v>
      </c>
      <c r="M10" s="3">
        <v>-0.07466488082334588</v>
      </c>
      <c r="N10" s="3">
        <v>-9.76613405055014E-4</v>
      </c>
    </row>
    <row r="11">
      <c r="A11" s="3">
        <v>114.4153154422823</v>
      </c>
      <c r="B11" s="3">
        <v>172.327307566703</v>
      </c>
      <c r="C11" s="3">
        <v>47.43558829647868</v>
      </c>
      <c r="D11" s="3">
        <v>5.015547793895368</v>
      </c>
      <c r="E11" s="3">
        <v>3.263053159477836</v>
      </c>
      <c r="F11" s="3">
        <v>16.3637218634857</v>
      </c>
      <c r="G11" s="3">
        <f t="shared" si="1"/>
        <v>7.289300786</v>
      </c>
      <c r="H11" s="3">
        <v>0.00668529815550365</v>
      </c>
      <c r="I11" s="3">
        <v>-0.9380290525898402</v>
      </c>
      <c r="J11" s="3">
        <v>-0.9537318374579186</v>
      </c>
      <c r="K11" s="3">
        <v>-0.9879042637126124</v>
      </c>
      <c r="L11" s="3">
        <v>-0.5136883676935855</v>
      </c>
      <c r="M11" s="3">
        <v>-0.6909674143141754</v>
      </c>
      <c r="N11" s="3">
        <v>-0.03376492858370016</v>
      </c>
    </row>
    <row r="12">
      <c r="A12" s="3">
        <v>103.8345995749303</v>
      </c>
      <c r="B12" s="3">
        <v>162.4693274999102</v>
      </c>
      <c r="C12" s="3">
        <v>47.5256506904594</v>
      </c>
      <c r="D12" s="3">
        <v>7.493858394399461</v>
      </c>
      <c r="E12" s="3">
        <v>2.814100388492592</v>
      </c>
      <c r="F12" s="3">
        <v>14.17646950044995</v>
      </c>
      <c r="G12" s="3">
        <f t="shared" si="1"/>
        <v>5.102048423</v>
      </c>
      <c r="H12" s="3">
        <v>0.009285065029085066</v>
      </c>
      <c r="I12" s="3">
        <v>-0.9191479800427788</v>
      </c>
      <c r="J12" s="3">
        <v>-0.9390128467440368</v>
      </c>
      <c r="K12" s="3">
        <v>-0.9821679780901563</v>
      </c>
      <c r="L12" s="3">
        <v>-0.4032971143696408</v>
      </c>
      <c r="M12" s="3">
        <v>-0.650651699205165</v>
      </c>
      <c r="N12" s="3">
        <v>-0.03062522347172204</v>
      </c>
    </row>
    <row r="13">
      <c r="A13" s="3">
        <v>144.0510626955246</v>
      </c>
      <c r="B13" s="3">
        <v>149.9907115044635</v>
      </c>
      <c r="C13" s="3">
        <v>47.66299458215276</v>
      </c>
      <c r="D13" s="3">
        <v>13.09031909134191</v>
      </c>
      <c r="E13" s="3">
        <v>2.982552355358489</v>
      </c>
      <c r="F13" s="3">
        <v>18.92466688467199</v>
      </c>
      <c r="G13" s="3">
        <f t="shared" si="1"/>
        <v>9.850245807</v>
      </c>
      <c r="H13" s="3">
        <v>0.003451570452706317</v>
      </c>
      <c r="I13" s="3">
        <v>-0.9649915770405791</v>
      </c>
      <c r="J13" s="3">
        <v>-0.974209032896861</v>
      </c>
      <c r="K13" s="3">
        <v>-0.9951860331778355</v>
      </c>
      <c r="L13" s="3">
        <v>-0.07077666623914526</v>
      </c>
      <c r="M13" s="3">
        <v>-0.1847619773434393</v>
      </c>
      <c r="N13" s="3">
        <v>-0.02520152983980659</v>
      </c>
    </row>
    <row r="14">
      <c r="A14" s="3">
        <v>46.25147512235463</v>
      </c>
      <c r="B14" s="3">
        <v>114.7046130844553</v>
      </c>
      <c r="C14" s="3">
        <v>46.04004364543394</v>
      </c>
      <c r="D14" s="3">
        <v>8.557943677858654</v>
      </c>
      <c r="E14" s="3">
        <v>3.173468805343914</v>
      </c>
      <c r="F14" s="3">
        <v>5.123672364181731</v>
      </c>
      <c r="G14" s="3">
        <f t="shared" si="1"/>
        <v>3.950748713</v>
      </c>
      <c r="H14" s="3">
        <v>0.1747403684903771</v>
      </c>
      <c r="I14" s="3">
        <v>-0.1833842614120652</v>
      </c>
      <c r="J14" s="3">
        <v>-0.5377917372704547</v>
      </c>
      <c r="K14" s="3">
        <v>-0.5470329567957537</v>
      </c>
      <c r="L14" s="3">
        <v>-0.1721728864599736</v>
      </c>
      <c r="M14" s="3">
        <v>-0.5571126615791919</v>
      </c>
      <c r="N14" s="3">
        <v>-0.04735090879204805</v>
      </c>
    </row>
    <row r="15">
      <c r="A15" s="3">
        <v>65.05753970344715</v>
      </c>
      <c r="B15" s="3">
        <v>158.5482318872548</v>
      </c>
      <c r="C15" s="3">
        <v>46.10852349425776</v>
      </c>
      <c r="D15" s="3">
        <v>11.58026080895609</v>
      </c>
      <c r="E15" s="3">
        <v>2.883811575417762</v>
      </c>
      <c r="F15" s="3">
        <v>7.372848840403522</v>
      </c>
      <c r="G15" s="3">
        <f t="shared" si="1"/>
        <v>1.701572237</v>
      </c>
      <c r="H15" s="3">
        <v>0.05034876760669134</v>
      </c>
      <c r="I15" s="3">
        <v>-0.6936711825688704</v>
      </c>
      <c r="J15" s="3">
        <v>-0.7912616981028137</v>
      </c>
      <c r="K15" s="3">
        <v>-0.8842879954798668</v>
      </c>
      <c r="L15" s="3">
        <v>-0.1406469121050902</v>
      </c>
      <c r="M15" s="3">
        <v>-0.3609843580431137</v>
      </c>
      <c r="N15" s="3">
        <v>-0.04631693298658193</v>
      </c>
    </row>
    <row r="16">
      <c r="A16" s="3">
        <v>73.61882948564792</v>
      </c>
      <c r="B16" s="3">
        <v>171.1299288691666</v>
      </c>
      <c r="C16" s="3">
        <v>46.10943170970043</v>
      </c>
      <c r="D16" s="3">
        <v>11.54319057629579</v>
      </c>
      <c r="E16" s="3">
        <v>2.89974531213945</v>
      </c>
      <c r="F16" s="3">
        <v>8.753569322687248</v>
      </c>
      <c r="G16" s="3">
        <f t="shared" si="1"/>
        <v>0.3208517549</v>
      </c>
      <c r="H16" s="3">
        <v>0.03182476786656638</v>
      </c>
      <c r="I16" s="3">
        <v>-0.7857335869071436</v>
      </c>
      <c r="J16" s="3">
        <v>-0.8468686502548689</v>
      </c>
      <c r="K16" s="3">
        <v>-0.929431103438387</v>
      </c>
      <c r="L16" s="3">
        <v>-0.2689510771574343</v>
      </c>
      <c r="M16" s="3">
        <v>-0.4249377896943795</v>
      </c>
      <c r="N16" s="3">
        <v>-0.04628027444753108</v>
      </c>
    </row>
    <row r="17">
      <c r="A17" s="3">
        <v>62.77831568080444</v>
      </c>
      <c r="B17" s="3">
        <v>126.9238063570909</v>
      </c>
      <c r="C17" s="3">
        <v>46.15108632527821</v>
      </c>
      <c r="D17" s="3">
        <v>11.15864617842596</v>
      </c>
      <c r="E17" s="3">
        <v>3.275836093991304</v>
      </c>
      <c r="F17" s="3">
        <v>6.938826520311614</v>
      </c>
      <c r="G17" s="3">
        <f t="shared" si="1"/>
        <v>2.135594557</v>
      </c>
      <c r="H17" s="3">
        <v>0.05740267624068641</v>
      </c>
      <c r="I17" s="3">
        <v>-0.6605319685506129</v>
      </c>
      <c r="J17" s="3">
        <v>-0.772379132853074</v>
      </c>
      <c r="K17" s="3">
        <v>-0.8665463917214423</v>
      </c>
      <c r="L17" s="3">
        <v>-0.03742505728560218</v>
      </c>
      <c r="M17" s="3">
        <v>-0.3439583956638175</v>
      </c>
      <c r="N17" s="3">
        <v>-0.04482162267645931</v>
      </c>
    </row>
    <row r="18">
      <c r="A18" s="5">
        <v>76.89401684241476</v>
      </c>
      <c r="B18" s="5">
        <v>171.1273227198201</v>
      </c>
      <c r="C18" s="5">
        <v>47.45341602240721</v>
      </c>
      <c r="D18" s="5">
        <v>9.90400859510234</v>
      </c>
      <c r="E18" s="5">
        <v>3.009183989120874</v>
      </c>
      <c r="F18" s="5">
        <v>8.997843143924658</v>
      </c>
      <c r="G18" s="5">
        <f t="shared" si="1"/>
        <v>0.07657793369</v>
      </c>
      <c r="H18" s="5">
        <v>0.02693627723140857</v>
      </c>
      <c r="I18" s="5">
        <v>-0.8114356968242586</v>
      </c>
      <c r="J18" s="5">
        <v>-0.8635235717522839</v>
      </c>
      <c r="K18" s="5">
        <v>-0.9407076361567177</v>
      </c>
      <c r="L18" s="5">
        <v>-0.1030724686231267</v>
      </c>
      <c r="M18" s="5">
        <v>-0.4494036676280466</v>
      </c>
      <c r="N18" s="5">
        <v>-0.03302595809291157</v>
      </c>
    </row>
    <row r="19">
      <c r="A19" s="3">
        <v>109.0452717322457</v>
      </c>
      <c r="B19" s="3">
        <v>160.0845252894756</v>
      </c>
      <c r="C19" s="3">
        <v>47.5248618663047</v>
      </c>
      <c r="D19" s="3">
        <v>5.015547793895368</v>
      </c>
      <c r="E19" s="3">
        <v>3.263053159477836</v>
      </c>
      <c r="F19" s="3">
        <v>14.95514558600373</v>
      </c>
      <c r="G19" s="3">
        <f t="shared" si="1"/>
        <v>5.880724508</v>
      </c>
      <c r="H19" s="3">
        <v>0.007832539841952544</v>
      </c>
      <c r="I19" s="3">
        <v>-0.9294388851771661</v>
      </c>
      <c r="J19" s="3">
        <v>-0.9470315423116321</v>
      </c>
      <c r="K19" s="3">
        <v>-0.985339742362258</v>
      </c>
      <c r="L19" s="3">
        <v>-0.08571518398352217</v>
      </c>
      <c r="M19" s="3">
        <v>-0.6895757835601696</v>
      </c>
      <c r="N19" s="3">
        <v>-0.03065637404195728</v>
      </c>
    </row>
    <row r="20">
      <c r="A20" s="3">
        <v>99.8622827849517</v>
      </c>
      <c r="B20" s="3">
        <v>114.7046130844553</v>
      </c>
      <c r="C20" s="3">
        <v>46.06334409893866</v>
      </c>
      <c r="D20" s="3">
        <v>8.5481254485978</v>
      </c>
      <c r="E20" s="3">
        <v>2.99613394965173</v>
      </c>
      <c r="F20" s="3">
        <v>13.44926660068202</v>
      </c>
      <c r="G20" s="3">
        <f t="shared" si="1"/>
        <v>4.374845523</v>
      </c>
      <c r="H20" s="3">
        <v>0.0106342793869123</v>
      </c>
      <c r="I20" s="3">
        <v>-0.9098698504343756</v>
      </c>
      <c r="J20" s="3">
        <v>-0.9319499041552941</v>
      </c>
      <c r="K20" s="3">
        <v>-0.9791568669512175</v>
      </c>
      <c r="L20" s="3">
        <v>-0.4138170607287081</v>
      </c>
      <c r="M20" s="3">
        <v>-0.6209782157946121</v>
      </c>
      <c r="N20" s="3">
        <v>-0.04703185540317529</v>
      </c>
    </row>
    <row r="21" ht="15.75" customHeight="1">
      <c r="A21" s="3">
        <v>67.02621631751829</v>
      </c>
      <c r="B21" s="3">
        <v>118.688940740091</v>
      </c>
      <c r="C21" s="3">
        <v>46.10943170970043</v>
      </c>
      <c r="D21" s="3">
        <v>11.52285091421551</v>
      </c>
      <c r="E21" s="3">
        <v>2.881736393227119</v>
      </c>
      <c r="F21" s="3">
        <v>7.664976093468946</v>
      </c>
      <c r="G21" s="3">
        <f t="shared" si="1"/>
        <v>1.409444984</v>
      </c>
      <c r="H21" s="3">
        <v>0.04502945661303242</v>
      </c>
      <c r="I21" s="3">
        <v>-0.7190853050339121</v>
      </c>
      <c r="J21" s="3">
        <v>-0.8061633353488863</v>
      </c>
      <c r="K21" s="3">
        <v>-0.8972953413374084</v>
      </c>
      <c r="L21" s="3">
        <v>-0.1629875477938169</v>
      </c>
      <c r="M21" s="3">
        <v>-0.375690509625928</v>
      </c>
      <c r="N21" s="3">
        <v>-0.04628027444753108</v>
      </c>
    </row>
    <row r="22" ht="15.75" customHeight="1">
      <c r="A22" s="3">
        <v>47.04011086615786</v>
      </c>
      <c r="B22" s="3">
        <v>114.7046130844553</v>
      </c>
      <c r="C22" s="3">
        <v>46.07804430607572</v>
      </c>
      <c r="D22" s="3">
        <v>8.3234807512513</v>
      </c>
      <c r="E22" s="3">
        <v>3.135437232933906</v>
      </c>
      <c r="F22" s="3">
        <v>5.160405967280587</v>
      </c>
      <c r="G22" s="3">
        <f t="shared" si="1"/>
        <v>3.91401511</v>
      </c>
      <c r="H22" s="3">
        <v>0.1637253772576358</v>
      </c>
      <c r="I22" s="3">
        <v>-0.2230900482281536</v>
      </c>
      <c r="J22" s="3">
        <v>-0.5556363898542335</v>
      </c>
      <c r="K22" s="3">
        <v>-0.576653852194939</v>
      </c>
      <c r="L22" s="3">
        <v>-0.1007038310996631</v>
      </c>
      <c r="M22" s="3">
        <v>-0.5511886359400081</v>
      </c>
      <c r="N22" s="3">
        <v>-0.0468305652908063</v>
      </c>
    </row>
    <row r="23" ht="15.75" customHeight="1">
      <c r="A23" s="3">
        <v>49.24918008648196</v>
      </c>
      <c r="B23" s="3">
        <v>172.3666546939821</v>
      </c>
      <c r="C23" s="3">
        <v>47.43417009506065</v>
      </c>
      <c r="D23" s="3">
        <v>12.12659260291071</v>
      </c>
      <c r="E23" s="3">
        <v>2.711249590481232</v>
      </c>
      <c r="F23" s="3">
        <v>5.386192146309516</v>
      </c>
      <c r="G23" s="3">
        <f t="shared" si="1"/>
        <v>3.688228931</v>
      </c>
      <c r="H23" s="3">
        <v>0.1457753466690958</v>
      </c>
      <c r="I23" s="3">
        <v>-0.3067768027269555</v>
      </c>
      <c r="J23" s="3">
        <v>-0.5914163066999998</v>
      </c>
      <c r="K23" s="3">
        <v>-0.6476510835638886</v>
      </c>
      <c r="L23" s="3">
        <v>-0.01988590011722478</v>
      </c>
      <c r="M23" s="3">
        <v>-0.2428948093884105</v>
      </c>
      <c r="N23" s="3">
        <v>-0.03382371392750198</v>
      </c>
    </row>
    <row r="24" ht="15.75" customHeight="1">
      <c r="A24" s="3">
        <v>61.54121938876505</v>
      </c>
      <c r="B24" s="3">
        <v>172.3666546939821</v>
      </c>
      <c r="C24" s="3">
        <v>47.4344006822809</v>
      </c>
      <c r="D24" s="3">
        <v>10.92873126077302</v>
      </c>
      <c r="E24" s="3">
        <v>2.787688140818944</v>
      </c>
      <c r="F24" s="3">
        <v>6.726949836087098</v>
      </c>
      <c r="G24" s="3">
        <f t="shared" si="1"/>
        <v>2.347471242</v>
      </c>
      <c r="H24" s="3">
        <v>0.06180996863020197</v>
      </c>
      <c r="I24" s="3">
        <v>-0.6403933392187474</v>
      </c>
      <c r="J24" s="3">
        <v>-0.7611119273640435</v>
      </c>
      <c r="K24" s="3">
        <v>-0.855487780874695</v>
      </c>
      <c r="L24" s="3">
        <v>-0.002577176939248028</v>
      </c>
      <c r="M24" s="3">
        <v>-0.3347172000996326</v>
      </c>
      <c r="N24" s="3">
        <v>-0.03381415594169938</v>
      </c>
    </row>
    <row r="25" ht="15.75" customHeight="1">
      <c r="A25" s="3">
        <v>50.25543749793656</v>
      </c>
      <c r="B25" s="3">
        <v>144.6678133618032</v>
      </c>
      <c r="C25" s="3">
        <v>47.44151713674127</v>
      </c>
      <c r="D25" s="3">
        <v>12.50562541106506</v>
      </c>
      <c r="E25" s="3">
        <v>3.146967381814007</v>
      </c>
      <c r="F25" s="3">
        <v>5.583387937975536</v>
      </c>
      <c r="G25" s="3">
        <f t="shared" si="1"/>
        <v>3.49103314</v>
      </c>
      <c r="H25" s="3">
        <v>0.1352043483581895</v>
      </c>
      <c r="I25" s="3">
        <v>-0.3462662797886115</v>
      </c>
      <c r="J25" s="3">
        <v>-0.6099749103474419</v>
      </c>
      <c r="K25" s="3">
        <v>-0.675034896577516</v>
      </c>
      <c r="L25" s="3">
        <v>-0.09141825255435286</v>
      </c>
      <c r="M25" s="3">
        <v>-0.2504116224182457</v>
      </c>
      <c r="N25" s="3">
        <v>-0.03351917441313366</v>
      </c>
    </row>
    <row r="26" ht="15.75" customHeight="1">
      <c r="A26" s="3">
        <v>86.97753036948293</v>
      </c>
      <c r="B26" s="3">
        <v>150.6001833025481</v>
      </c>
      <c r="C26" s="3">
        <v>45.9711303628057</v>
      </c>
      <c r="D26" s="3">
        <v>8.380346841915177</v>
      </c>
      <c r="E26" s="3">
        <v>3.232998281833154</v>
      </c>
      <c r="F26" s="3">
        <v>10.60099127588335</v>
      </c>
      <c r="G26" s="3">
        <f t="shared" si="1"/>
        <v>1.526570198</v>
      </c>
      <c r="H26" s="3">
        <v>0.01719471041013172</v>
      </c>
      <c r="I26" s="3">
        <v>-0.8674700349119262</v>
      </c>
      <c r="J26" s="3">
        <v>-0.9013477438827652</v>
      </c>
      <c r="K26" s="3">
        <v>-0.9637806485026031</v>
      </c>
      <c r="L26" s="3">
        <v>-0.007060806379738014</v>
      </c>
      <c r="M26" s="3">
        <v>-0.5247282167980428</v>
      </c>
      <c r="N26" s="3">
        <v>-0.04863318766995806</v>
      </c>
    </row>
    <row r="27" ht="15.75" customHeight="1">
      <c r="A27" s="3">
        <v>89.63240326952642</v>
      </c>
      <c r="B27" s="3">
        <v>141.6526477895691</v>
      </c>
      <c r="C27" s="3">
        <v>47.70257250843989</v>
      </c>
      <c r="D27" s="3">
        <v>8.42684174804041</v>
      </c>
      <c r="E27" s="3">
        <v>3.243469351844282</v>
      </c>
      <c r="F27" s="3">
        <v>11.15897079263883</v>
      </c>
      <c r="G27" s="3">
        <f t="shared" si="1"/>
        <v>2.084549715</v>
      </c>
      <c r="H27" s="3">
        <v>0.01546771948951455</v>
      </c>
      <c r="I27" s="3">
        <v>-0.8782112556144346</v>
      </c>
      <c r="J27" s="3">
        <v>-0.9088998326960358</v>
      </c>
      <c r="K27" s="3">
        <v>-0.9678849358078234</v>
      </c>
      <c r="L27" s="3">
        <v>-0.1284983699839547</v>
      </c>
      <c r="M27" s="3">
        <v>-0.5445603024854967</v>
      </c>
      <c r="N27" s="3">
        <v>-0.02449598713825561</v>
      </c>
    </row>
    <row r="28" ht="15.75" customHeight="1">
      <c r="A28" s="3">
        <v>57.48670164772578</v>
      </c>
      <c r="B28" s="3">
        <v>127.3418768167518</v>
      </c>
      <c r="C28" s="3">
        <v>46.50647958941187</v>
      </c>
      <c r="D28" s="3">
        <v>12.03509392612676</v>
      </c>
      <c r="E28" s="3">
        <v>2.661647838610082</v>
      </c>
      <c r="F28" s="3">
        <v>6.380811551372186</v>
      </c>
      <c r="G28" s="3">
        <f t="shared" si="1"/>
        <v>2.693609526</v>
      </c>
      <c r="H28" s="3">
        <v>0.08051646797375532</v>
      </c>
      <c r="I28" s="3">
        <v>-0.5601411037619132</v>
      </c>
      <c r="J28" s="3">
        <v>-0.7173239677313705</v>
      </c>
      <c r="K28" s="3">
        <v>-0.8101986078407364</v>
      </c>
      <c r="L28" s="3">
        <v>-0.1029415720687406</v>
      </c>
      <c r="M28" s="3">
        <v>-0.3044296698527891</v>
      </c>
      <c r="N28" s="3">
        <v>-0.04526037606756418</v>
      </c>
    </row>
    <row r="29" ht="15.75" customHeight="1">
      <c r="A29" s="3">
        <v>52.38377319615392</v>
      </c>
      <c r="B29" s="3">
        <v>119.1568763635619</v>
      </c>
      <c r="C29" s="3">
        <v>47.4335356570111</v>
      </c>
      <c r="D29" s="3">
        <v>11.89466819165266</v>
      </c>
      <c r="E29" s="3">
        <v>2.867476075932557</v>
      </c>
      <c r="F29" s="3">
        <v>5.742902043582273</v>
      </c>
      <c r="G29" s="3">
        <f t="shared" si="1"/>
        <v>3.331519034</v>
      </c>
      <c r="H29" s="3">
        <v>0.1145947318332139</v>
      </c>
      <c r="I29" s="3">
        <v>-0.4226312041740341</v>
      </c>
      <c r="J29" s="3">
        <v>-0.6472357562841436</v>
      </c>
      <c r="K29" s="3">
        <v>-0.7247154427489598</v>
      </c>
      <c r="L29" s="3">
        <v>-0.04892971911120594</v>
      </c>
      <c r="M29" s="3">
        <v>-0.2774168724201366</v>
      </c>
      <c r="N29" s="3">
        <v>-0.0338500117850487</v>
      </c>
    </row>
    <row r="30" ht="15.75" customHeight="1">
      <c r="A30" s="3">
        <v>44.92189372875503</v>
      </c>
      <c r="B30" s="3">
        <v>113.6435451750862</v>
      </c>
      <c r="C30" s="3">
        <v>40.83464435042819</v>
      </c>
      <c r="D30" s="3">
        <v>8.532798916019464</v>
      </c>
      <c r="E30" s="3">
        <v>3.040667009657764</v>
      </c>
      <c r="F30" s="3">
        <v>4.930243683964308</v>
      </c>
      <c r="G30" s="3">
        <f t="shared" si="1"/>
        <v>4.144177394</v>
      </c>
      <c r="H30" s="3">
        <v>0.1955163596334724</v>
      </c>
      <c r="I30" s="3">
        <v>-0.1100283802531904</v>
      </c>
      <c r="J30" s="3">
        <v>-0.5054332056360212</v>
      </c>
      <c r="K30" s="3">
        <v>-0.4909777873834369</v>
      </c>
      <c r="L30" s="3">
        <v>-0.0235724002084196</v>
      </c>
      <c r="M30" s="3">
        <v>-0.5482841587153516</v>
      </c>
      <c r="N30" s="3">
        <v>-0.1561821850447973</v>
      </c>
    </row>
    <row r="31" ht="15.75" customHeight="1">
      <c r="A31" s="3">
        <v>80.483096184451</v>
      </c>
      <c r="B31" s="3">
        <v>180.399609605517</v>
      </c>
      <c r="C31" s="3">
        <v>46.01878426668699</v>
      </c>
      <c r="D31" s="3">
        <v>9.334882173972781</v>
      </c>
      <c r="E31" s="3">
        <v>2.6725771087171</v>
      </c>
      <c r="F31" s="3">
        <v>9.524674740335941</v>
      </c>
      <c r="G31" s="3">
        <f t="shared" si="1"/>
        <v>0.4502536627</v>
      </c>
      <c r="H31" s="3">
        <v>0.02277099469001248</v>
      </c>
      <c r="I31" s="3">
        <v>-0.8346375402165761</v>
      </c>
      <c r="J31" s="3">
        <v>-0.8788614914543424</v>
      </c>
      <c r="K31" s="3">
        <v>-0.9505973486343031</v>
      </c>
      <c r="L31" s="3">
        <v>-0.04511627077821993</v>
      </c>
      <c r="M31" s="3">
        <v>-0.4762143405793459</v>
      </c>
      <c r="N31" s="3">
        <v>-0.04764201371982013</v>
      </c>
    </row>
    <row r="32" ht="15.75" customHeight="1">
      <c r="A32" s="3">
        <v>95.54111068803579</v>
      </c>
      <c r="B32" s="3">
        <v>112.9091395065116</v>
      </c>
      <c r="C32" s="3">
        <v>47.7652054875593</v>
      </c>
      <c r="D32" s="3">
        <v>8.563762385841537</v>
      </c>
      <c r="E32" s="3">
        <v>2.855894037171288</v>
      </c>
      <c r="F32" s="3">
        <v>12.46951915181748</v>
      </c>
      <c r="G32" s="3">
        <f t="shared" si="1"/>
        <v>3.395098074</v>
      </c>
      <c r="H32" s="3">
        <v>0.01238561819633214</v>
      </c>
      <c r="I32" s="3">
        <v>-0.8980983386588444</v>
      </c>
      <c r="J32" s="3">
        <v>-0.9232268949203509</v>
      </c>
      <c r="K32" s="3">
        <v>-0.9751224380821923</v>
      </c>
      <c r="L32" s="3">
        <v>-0.3186390227956494</v>
      </c>
      <c r="M32" s="3">
        <v>-0.5886987589155775</v>
      </c>
      <c r="N32" s="3">
        <v>-0.02348805679047141</v>
      </c>
    </row>
    <row r="33" ht="15.75" customHeight="1">
      <c r="A33" s="3">
        <v>70.2209242685962</v>
      </c>
      <c r="B33" s="3">
        <v>113.2276162878337</v>
      </c>
      <c r="C33" s="3">
        <v>47.63644798340092</v>
      </c>
      <c r="D33" s="3">
        <v>11.52285091421551</v>
      </c>
      <c r="E33" s="3">
        <v>2.883138139627821</v>
      </c>
      <c r="F33" s="3">
        <v>8.182996895024187</v>
      </c>
      <c r="G33" s="3">
        <f t="shared" si="1"/>
        <v>0.8914241826</v>
      </c>
      <c r="H33" s="3">
        <v>0.0378819675362095</v>
      </c>
      <c r="I33" s="3">
        <v>-0.7544762207545509</v>
      </c>
      <c r="J33" s="3">
        <v>-0.8274526120314517</v>
      </c>
      <c r="K33" s="3">
        <v>-0.9147483500707755</v>
      </c>
      <c r="L33" s="3">
        <v>-0.2381650083551593</v>
      </c>
      <c r="M33" s="3">
        <v>-0.399555200787275</v>
      </c>
      <c r="N33" s="3">
        <v>-0.02624985180610722</v>
      </c>
    </row>
    <row r="34" ht="15.75" customHeight="1">
      <c r="A34" s="3">
        <v>47.78809938227532</v>
      </c>
      <c r="B34" s="3">
        <v>115.0599038646552</v>
      </c>
      <c r="C34" s="3">
        <v>47.3352603915491</v>
      </c>
      <c r="D34" s="3">
        <v>8.532798916019464</v>
      </c>
      <c r="E34" s="3">
        <v>3.01690986757097</v>
      </c>
      <c r="F34" s="3">
        <v>5.277686210021216</v>
      </c>
      <c r="G34" s="3">
        <f t="shared" si="1"/>
        <v>3.796734868</v>
      </c>
      <c r="H34" s="3">
        <v>0.1546400372919585</v>
      </c>
      <c r="I34" s="3">
        <v>-0.2574545423824295</v>
      </c>
      <c r="J34" s="3">
        <v>-0.5711196286065874</v>
      </c>
      <c r="K34" s="3">
        <v>-0.6025432051169765</v>
      </c>
      <c r="L34" s="3">
        <v>-0.0997787576144977</v>
      </c>
      <c r="M34" s="3">
        <v>-0.5338667398970752</v>
      </c>
      <c r="N34" s="3">
        <v>-0.04082356075289235</v>
      </c>
    </row>
    <row r="35" ht="15.75" customHeight="1">
      <c r="A35" s="3">
        <v>110.7806788948902</v>
      </c>
      <c r="B35" s="3">
        <v>145.4913213547876</v>
      </c>
      <c r="C35" s="3">
        <v>47.5248618663047</v>
      </c>
      <c r="D35" s="3">
        <v>5.015547793895368</v>
      </c>
      <c r="E35" s="3">
        <v>2.927485512314067</v>
      </c>
      <c r="F35" s="3">
        <v>15.40127681285455</v>
      </c>
      <c r="G35" s="3">
        <f t="shared" si="1"/>
        <v>6.326855735</v>
      </c>
      <c r="H35" s="3">
        <v>0.007433571610519096</v>
      </c>
      <c r="I35" s="3">
        <v>-0.9323937565712425</v>
      </c>
      <c r="J35" s="3">
        <v>-0.9493242613973185</v>
      </c>
      <c r="K35" s="3">
        <v>-0.9862370076127386</v>
      </c>
      <c r="L35" s="3">
        <v>-0.2243306440241075</v>
      </c>
      <c r="M35" s="3">
        <v>-0.7021826279441364</v>
      </c>
      <c r="N35" s="3">
        <v>-0.03065637404195728</v>
      </c>
    </row>
    <row r="36" ht="15.75" customHeight="1">
      <c r="A36" s="3">
        <v>68.87633712245736</v>
      </c>
      <c r="B36" s="3">
        <v>126.2519363292364</v>
      </c>
      <c r="C36" s="3">
        <v>48.11056173989278</v>
      </c>
      <c r="D36" s="3">
        <v>11.54230566580712</v>
      </c>
      <c r="E36" s="3">
        <v>2.881736393227119</v>
      </c>
      <c r="F36" s="3">
        <v>7.984142586492045</v>
      </c>
      <c r="G36" s="3">
        <f t="shared" si="1"/>
        <v>1.090278491</v>
      </c>
      <c r="H36" s="3">
        <v>0.04071805395683552</v>
      </c>
      <c r="I36" s="3">
        <v>-0.7403171183305953</v>
      </c>
      <c r="J36" s="3">
        <v>-0.8188356001806619</v>
      </c>
      <c r="K36" s="3">
        <v>-0.9078938166541303</v>
      </c>
      <c r="L36" s="3">
        <v>-0.2279847792481725</v>
      </c>
      <c r="M36" s="3">
        <v>-0.3895110410476363</v>
      </c>
      <c r="N36" s="3">
        <v>-0.007957186380623853</v>
      </c>
    </row>
    <row r="37" ht="15.75" customHeight="1">
      <c r="A37" s="3">
        <v>59.65013681363991</v>
      </c>
      <c r="B37" s="3">
        <v>127.4107207851206</v>
      </c>
      <c r="C37" s="3">
        <v>52.33353862724757</v>
      </c>
      <c r="D37" s="3">
        <v>11.00241191893387</v>
      </c>
      <c r="E37" s="3">
        <v>3.169197775013167</v>
      </c>
      <c r="F37" s="3">
        <v>6.490639944813206</v>
      </c>
      <c r="G37" s="3">
        <f t="shared" si="1"/>
        <v>2.583781133</v>
      </c>
      <c r="H37" s="3">
        <v>0.0696006841912475</v>
      </c>
      <c r="I37" s="3">
        <v>-0.6059837239490883</v>
      </c>
      <c r="J37" s="3">
        <v>-0.7421354784585787</v>
      </c>
      <c r="K37" s="3">
        <v>-0.8362719149366673</v>
      </c>
      <c r="L37" s="3">
        <v>-0.07867600338143897</v>
      </c>
      <c r="M37" s="3">
        <v>-0.3205906813983726</v>
      </c>
      <c r="N37" s="3">
        <v>-5.793530293885981E-4</v>
      </c>
    </row>
    <row r="38" ht="15.75" customHeight="1">
      <c r="A38" s="3">
        <v>55.70144961275984</v>
      </c>
      <c r="B38" s="3">
        <v>165.9673903649034</v>
      </c>
      <c r="C38" s="3">
        <v>47.43878196229872</v>
      </c>
      <c r="D38" s="3">
        <v>12.05001955247907</v>
      </c>
      <c r="E38" s="3">
        <v>3.228283644949241</v>
      </c>
      <c r="F38" s="3">
        <v>6.162255705822834</v>
      </c>
      <c r="G38" s="3">
        <f t="shared" si="1"/>
        <v>2.912165372</v>
      </c>
      <c r="H38" s="3">
        <v>0.0908442355277643</v>
      </c>
      <c r="I38" s="3">
        <v>-0.5174491298564949</v>
      </c>
      <c r="J38" s="3">
        <v>-0.6949710768173604</v>
      </c>
      <c r="K38" s="3">
        <v>-0.784670779595467</v>
      </c>
      <c r="L38" s="3">
        <v>-0.09766476019721854</v>
      </c>
      <c r="M38" s="3">
        <v>-0.2910937126660755</v>
      </c>
      <c r="N38" s="3">
        <v>-0.03363254911994158</v>
      </c>
    </row>
    <row r="39" ht="15.75" customHeight="1">
      <c r="A39" s="3">
        <v>57.20499460818811</v>
      </c>
      <c r="B39" s="3">
        <v>149.2347592648687</v>
      </c>
      <c r="C39" s="3">
        <v>48.22412212273828</v>
      </c>
      <c r="D39" s="3">
        <v>11.228929058709</v>
      </c>
      <c r="E39" s="3">
        <v>3.261941910242217</v>
      </c>
      <c r="F39" s="3">
        <v>6.194087538785065</v>
      </c>
      <c r="G39" s="3">
        <f t="shared" si="1"/>
        <v>2.880333539</v>
      </c>
      <c r="H39" s="3">
        <v>0.08165343322289965</v>
      </c>
      <c r="I39" s="3">
        <v>-0.5545222879071748</v>
      </c>
      <c r="J39" s="3">
        <v>-0.7145259256744317</v>
      </c>
      <c r="K39" s="3">
        <v>-0.8064321782842712</v>
      </c>
      <c r="L39" s="3">
        <v>-0.00187317872440622</v>
      </c>
      <c r="M39" s="3">
        <v>-0.3023252986240275</v>
      </c>
      <c r="N39" s="3">
        <v>-0.001239221681195433</v>
      </c>
    </row>
    <row r="40" ht="15.75" customHeight="1">
      <c r="A40" s="3">
        <v>49.81896348682529</v>
      </c>
      <c r="B40" s="3">
        <v>180.6506187772093</v>
      </c>
      <c r="C40" s="3">
        <v>47.99291476381225</v>
      </c>
      <c r="D40" s="3">
        <v>11.90446025521126</v>
      </c>
      <c r="E40" s="3">
        <v>3.214573462685585</v>
      </c>
      <c r="F40" s="3">
        <v>5.409116870784818</v>
      </c>
      <c r="G40" s="3">
        <f t="shared" si="1"/>
        <v>3.665304207</v>
      </c>
      <c r="H40" s="3">
        <v>0.1392433580937561</v>
      </c>
      <c r="I40" s="3">
        <v>-0.3302483228148995</v>
      </c>
      <c r="J40" s="3">
        <v>-0.6025485117159888</v>
      </c>
      <c r="K40" s="3">
        <v>-0.6634960173071571</v>
      </c>
      <c r="L40" s="3">
        <v>-0.00289929826936453</v>
      </c>
      <c r="M40" s="3">
        <v>-0.2471511311199377</v>
      </c>
      <c r="N40" s="3">
        <v>-0.0147276251864649</v>
      </c>
    </row>
    <row r="41" ht="15.75" customHeight="1">
      <c r="A41" s="3">
        <v>84.26376665751971</v>
      </c>
      <c r="B41" s="3">
        <v>180.399609605517</v>
      </c>
      <c r="C41" s="3">
        <v>46.01878426668699</v>
      </c>
      <c r="D41" s="3">
        <v>9.359634440262132</v>
      </c>
      <c r="E41" s="3">
        <v>2.916699619891748</v>
      </c>
      <c r="F41" s="3">
        <v>10.25824124004546</v>
      </c>
      <c r="G41" s="3">
        <f t="shared" si="1"/>
        <v>1.183820162</v>
      </c>
      <c r="H41" s="3">
        <v>0.01931839442911661</v>
      </c>
      <c r="I41" s="3">
        <v>-0.8548367618199398</v>
      </c>
      <c r="J41" s="3">
        <v>-0.8925181226894331</v>
      </c>
      <c r="K41" s="3">
        <v>-0.9588845086454152</v>
      </c>
      <c r="L41" s="3">
        <v>-0.1399969726153981</v>
      </c>
      <c r="M41" s="3">
        <v>-0.5044562126390958</v>
      </c>
      <c r="N41" s="3">
        <v>-0.04764201371982013</v>
      </c>
    </row>
    <row r="42" ht="15.75" customHeight="1">
      <c r="A42" s="3">
        <v>92.27354373172555</v>
      </c>
      <c r="B42" s="3">
        <v>134.6247205996571</v>
      </c>
      <c r="C42" s="3">
        <v>52.37682794843288</v>
      </c>
      <c r="D42" s="3">
        <v>7.362931121717736</v>
      </c>
      <c r="E42" s="3">
        <v>2.926972780311894</v>
      </c>
      <c r="F42" s="3">
        <v>11.51744893295801</v>
      </c>
      <c r="G42" s="3">
        <f t="shared" si="1"/>
        <v>2.443027855</v>
      </c>
      <c r="H42" s="3">
        <v>0.01392466331924352</v>
      </c>
      <c r="I42" s="3">
        <v>-0.8878809164192332</v>
      </c>
      <c r="J42" s="3">
        <v>-0.9158883290386204</v>
      </c>
      <c r="K42" s="3">
        <v>-0.971406971349707</v>
      </c>
      <c r="L42" s="3">
        <v>-0.04938126033693877</v>
      </c>
      <c r="M42" s="3">
        <v>-0.5642898059046911</v>
      </c>
      <c r="N42" s="3">
        <v>-8.831320460127486E-4</v>
      </c>
    </row>
    <row r="43" ht="15.75" customHeight="1">
      <c r="A43" s="3">
        <v>51.25367662974669</v>
      </c>
      <c r="B43" s="3">
        <v>145.9132123942543</v>
      </c>
      <c r="C43" s="3">
        <v>47.69169538981555</v>
      </c>
      <c r="D43" s="3">
        <v>12.03253456320922</v>
      </c>
      <c r="E43" s="3">
        <v>2.762240018677959</v>
      </c>
      <c r="F43" s="3">
        <v>5.589765222949505</v>
      </c>
      <c r="G43" s="3">
        <f t="shared" si="1"/>
        <v>3.484655855</v>
      </c>
      <c r="H43" s="3">
        <v>0.1248752995374012</v>
      </c>
      <c r="I43" s="3">
        <v>-0.3838987526386778</v>
      </c>
      <c r="J43" s="3">
        <v>-0.6282281472551663</v>
      </c>
      <c r="K43" s="3">
        <v>-0.699621488544491</v>
      </c>
      <c r="L43" s="3">
        <v>-0.0378641910659675</v>
      </c>
      <c r="M43" s="3">
        <v>-0.2578685383400225</v>
      </c>
      <c r="N43" s="3">
        <v>-0.02463439169126045</v>
      </c>
    </row>
    <row r="44" ht="15.75" customHeight="1">
      <c r="A44" s="3">
        <v>51.38046147396303</v>
      </c>
      <c r="B44" s="3">
        <v>152.2664441785735</v>
      </c>
      <c r="C44" s="3">
        <v>47.45401397870558</v>
      </c>
      <c r="D44" s="3">
        <v>12.1299769103341</v>
      </c>
      <c r="E44" s="3">
        <v>2.753473586369508</v>
      </c>
      <c r="F44" s="3">
        <v>5.638783075052147</v>
      </c>
      <c r="G44" s="3">
        <f t="shared" si="1"/>
        <v>3.435638003</v>
      </c>
      <c r="H44" s="3">
        <v>0.1238370447420032</v>
      </c>
      <c r="I44" s="3">
        <v>-0.3881113954905958</v>
      </c>
      <c r="J44" s="3">
        <v>-0.630222259019514</v>
      </c>
      <c r="K44" s="3">
        <v>-0.7025753517944373</v>
      </c>
      <c r="L44" s="3">
        <v>-0.05021737240841304</v>
      </c>
      <c r="M44" s="3">
        <v>-0.2588156299670181</v>
      </c>
      <c r="N44" s="3">
        <v>-0.033001172426975</v>
      </c>
    </row>
    <row r="45" ht="15.75" customHeight="1">
      <c r="A45" s="3">
        <v>46.24449761279223</v>
      </c>
      <c r="B45" s="3">
        <v>147.8818264907296</v>
      </c>
      <c r="C45" s="3">
        <v>47.6945009035812</v>
      </c>
      <c r="D45" s="3">
        <v>12.35522787670941</v>
      </c>
      <c r="E45" s="3">
        <v>2.924131334170283</v>
      </c>
      <c r="F45" s="3">
        <v>5.086294026604239</v>
      </c>
      <c r="G45" s="3">
        <f t="shared" si="1"/>
        <v>3.988127051</v>
      </c>
      <c r="H45" s="3">
        <v>0.1861875220559187</v>
      </c>
      <c r="I45" s="3">
        <v>-0.1648177947439858</v>
      </c>
      <c r="J45" s="3">
        <v>-0.5264531512916003</v>
      </c>
      <c r="K45" s="3">
        <v>-0.5467595147710569</v>
      </c>
      <c r="L45" s="3">
        <v>-0.02112130129736307</v>
      </c>
      <c r="M45" s="3">
        <v>-0.2204496217936185</v>
      </c>
      <c r="N45" s="3">
        <v>-0.02459869327772923</v>
      </c>
    </row>
    <row r="46" ht="15.75" customHeight="1">
      <c r="A46" s="3">
        <v>46.04010192597711</v>
      </c>
      <c r="B46" s="3">
        <v>175.4595260158636</v>
      </c>
      <c r="C46" s="3">
        <v>47.6945009035812</v>
      </c>
      <c r="D46" s="3">
        <v>12.35522787670941</v>
      </c>
      <c r="E46" s="3">
        <v>2.924131334170283</v>
      </c>
      <c r="F46" s="3">
        <v>5.064235157881641</v>
      </c>
      <c r="G46" s="3">
        <f t="shared" si="1"/>
        <v>4.01018592</v>
      </c>
      <c r="H46" s="3">
        <v>0.1894134250120392</v>
      </c>
      <c r="I46" s="3">
        <v>-0.1538089472336273</v>
      </c>
      <c r="J46" s="3">
        <v>-0.5215524833850487</v>
      </c>
      <c r="K46" s="3">
        <v>-0.5386570873799269</v>
      </c>
      <c r="L46" s="3">
        <v>-0.01841740461412102</v>
      </c>
      <c r="M46" s="3">
        <v>-0.2189227717606105</v>
      </c>
      <c r="N46" s="3">
        <v>-0.02459869327772923</v>
      </c>
    </row>
    <row r="47" ht="15.75" customHeight="1">
      <c r="A47" s="3">
        <v>59.87462731592539</v>
      </c>
      <c r="B47" s="3">
        <v>134.5597508776683</v>
      </c>
      <c r="C47" s="3">
        <v>47.93409397172802</v>
      </c>
      <c r="D47" s="3">
        <v>11.16008962352228</v>
      </c>
      <c r="E47" s="3">
        <v>3.272177819850246</v>
      </c>
      <c r="F47" s="3">
        <v>6.539455196867067</v>
      </c>
      <c r="G47" s="3">
        <f t="shared" si="1"/>
        <v>2.534965881</v>
      </c>
      <c r="H47" s="3">
        <v>0.06865307090124587</v>
      </c>
      <c r="I47" s="3">
        <v>-0.6102104057725425</v>
      </c>
      <c r="J47" s="3">
        <v>-0.7444210339659634</v>
      </c>
      <c r="K47" s="3">
        <v>-0.8387136305687177</v>
      </c>
      <c r="L47" s="3">
        <v>-0.02648093093103241</v>
      </c>
      <c r="M47" s="3">
        <v>-0.3222676411041546</v>
      </c>
      <c r="N47" s="3">
        <v>-0.01699057878425743</v>
      </c>
    </row>
    <row r="48" ht="15.75" customHeight="1">
      <c r="A48" s="3">
        <v>146.1411215405397</v>
      </c>
      <c r="B48" s="3">
        <v>145.7548575811035</v>
      </c>
      <c r="C48" s="3">
        <v>47.68094156606036</v>
      </c>
      <c r="D48" s="3">
        <v>13.9736129850471</v>
      </c>
      <c r="E48" s="3">
        <v>2.740237979634391</v>
      </c>
      <c r="F48" s="3">
        <v>19.57400853563627</v>
      </c>
      <c r="G48" s="3">
        <f t="shared" si="1"/>
        <v>10.49958746</v>
      </c>
      <c r="H48" s="3">
        <v>0.003309502782984958</v>
      </c>
      <c r="I48" s="3">
        <v>-0.9662125210049387</v>
      </c>
      <c r="J48" s="3">
        <v>-0.9751800234540826</v>
      </c>
      <c r="K48" s="3">
        <v>-0.9954555721258065</v>
      </c>
      <c r="L48" s="3">
        <v>-0.2133465683137415</v>
      </c>
      <c r="M48" s="3">
        <v>-0.2055791577593608</v>
      </c>
      <c r="N48" s="3">
        <v>-0.02477122739392602</v>
      </c>
    </row>
    <row r="49" ht="15.75" customHeight="1">
      <c r="A49" s="3">
        <v>47.44366340101401</v>
      </c>
      <c r="B49" s="3">
        <v>113.4574845240174</v>
      </c>
      <c r="C49" s="3">
        <v>46.05788253388754</v>
      </c>
      <c r="D49" s="3">
        <v>8.532798916019464</v>
      </c>
      <c r="E49" s="3">
        <v>3.01690986757097</v>
      </c>
      <c r="F49" s="3">
        <v>5.262325213537887</v>
      </c>
      <c r="G49" s="3">
        <f t="shared" si="1"/>
        <v>3.812095864</v>
      </c>
      <c r="H49" s="3">
        <v>0.1585808962236947</v>
      </c>
      <c r="I49" s="3">
        <v>-0.2421613237767996</v>
      </c>
      <c r="J49" s="3">
        <v>-0.5642567826323724</v>
      </c>
      <c r="K49" s="3">
        <v>-0.5908749281074493</v>
      </c>
      <c r="L49" s="3">
        <v>-0.1541200296666063</v>
      </c>
      <c r="M49" s="3">
        <v>-0.5538797402307555</v>
      </c>
      <c r="N49" s="3">
        <v>-0.04710664067882443</v>
      </c>
    </row>
    <row r="50" ht="15.75" customHeight="1">
      <c r="A50" s="3">
        <v>52.38377319615392</v>
      </c>
      <c r="B50" s="3">
        <v>150.1720214870339</v>
      </c>
      <c r="C50" s="3">
        <v>47.45454909232318</v>
      </c>
      <c r="D50" s="3">
        <v>11.89466819165266</v>
      </c>
      <c r="E50" s="3">
        <v>2.803175226338028</v>
      </c>
      <c r="F50" s="3">
        <v>5.711064265530284</v>
      </c>
      <c r="G50" s="3">
        <f t="shared" si="1"/>
        <v>3.363356812</v>
      </c>
      <c r="H50" s="3">
        <v>0.1147857040336289</v>
      </c>
      <c r="I50" s="3">
        <v>-0.42229629694312</v>
      </c>
      <c r="J50" s="3">
        <v>-0.6470111329581145</v>
      </c>
      <c r="K50" s="3">
        <v>-0.7247154427489598</v>
      </c>
      <c r="L50" s="3">
        <v>-0.02677612181543999</v>
      </c>
      <c r="M50" s="3">
        <v>-0.2663104384926507</v>
      </c>
      <c r="N50" s="3">
        <v>-0.03297899162981657</v>
      </c>
    </row>
    <row r="51" ht="15.75" customHeight="1">
      <c r="A51" s="3">
        <v>55.70144961275984</v>
      </c>
      <c r="B51" s="3">
        <v>163.8860807774724</v>
      </c>
      <c r="C51" s="3">
        <v>47.43878196229872</v>
      </c>
      <c r="D51" s="3">
        <v>12.05001955247907</v>
      </c>
      <c r="E51" s="3">
        <v>3.280148871301095</v>
      </c>
      <c r="F51" s="3">
        <v>6.162255705822834</v>
      </c>
      <c r="G51" s="3">
        <f t="shared" si="1"/>
        <v>2.912165372</v>
      </c>
      <c r="H51" s="3">
        <v>0.0908442355277643</v>
      </c>
      <c r="I51" s="3">
        <v>-0.5174491298564949</v>
      </c>
      <c r="J51" s="3">
        <v>-0.6949710768173604</v>
      </c>
      <c r="K51" s="3">
        <v>-0.784670779595467</v>
      </c>
      <c r="L51" s="3">
        <v>-0.09766476019721854</v>
      </c>
      <c r="M51" s="3">
        <v>-0.2910937126660755</v>
      </c>
      <c r="N51" s="3">
        <v>-0.03363254911994158</v>
      </c>
    </row>
    <row r="52" ht="15.75" customHeight="1">
      <c r="F52" s="3">
        <f>AVERAGE(F2:F51)</f>
        <v>9.074421078</v>
      </c>
      <c r="G52" s="3">
        <f>SMALL(G2:G51,1)</f>
        <v>0.07657793369</v>
      </c>
    </row>
    <row r="53" ht="15.75" customHeight="1">
      <c r="F53" s="3">
        <f>SMALL(F2:F51,1)</f>
        <v>4.693511941</v>
      </c>
    </row>
    <row r="54" ht="15.75" customHeight="1">
      <c r="F54" s="3">
        <f>LARGE(F2:F51,1)</f>
        <v>20.05838686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2026-08-29T02:14:36Z</dcterms:created>
  <dc:creator>openpyxl</dc:creator>
</cp:coreProperties>
</file>