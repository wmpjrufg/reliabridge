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" sheetId="1" r:id="rId4"/>
  </sheets>
  <definedNames/>
  <calcPr/>
  <extLst>
    <ext uri="GoogleSheetsCustomDataVersion2">
      <go:sheetsCustomData xmlns:go="http://customooxmlschemas.google.com/" r:id="rId5" roundtripDataChecksum="1TpuRH/j78zxv//5tCywygcM04lhbxC/Eao7lTkaCGY="/>
    </ext>
  </extLst>
</workbook>
</file>

<file path=xl/sharedStrings.xml><?xml version="1.0" encoding="utf-8"?>
<sst xmlns="http://schemas.openxmlformats.org/spreadsheetml/2006/main" count="13" uniqueCount="13">
  <si>
    <t>d_cm</t>
  </si>
  <si>
    <t>esp_cm</t>
  </si>
  <si>
    <t>bw_cm</t>
  </si>
  <si>
    <t>h_cm</t>
  </si>
  <si>
    <t>esp_tab_cm</t>
  </si>
  <si>
    <t>of_volume_m3</t>
  </si>
  <si>
    <t>of_fator_flecha</t>
  </si>
  <si>
    <t>longarina_g_m</t>
  </si>
  <si>
    <t>longarina_g_v</t>
  </si>
  <si>
    <t>longarina_g_f</t>
  </si>
  <si>
    <t>tabuleiro_g_m</t>
  </si>
  <si>
    <t>longarina_g_esp</t>
  </si>
  <si>
    <t>tabuleiro_g_esp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</si>
</sst>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2" fontId="2" numFmtId="0" xfId="0" applyBorder="1" applyFill="1" applyFont="1"/>
    <xf borderId="2" fillId="3" fontId="2" numFmtId="0" xfId="0" applyBorder="1" applyFill="1" applyFont="1"/>
    <xf borderId="2" fillId="4" fontId="2" numFmtId="0" xfId="0" applyBorder="1" applyFill="1" applyFont="1"/>
    <xf borderId="0" fillId="0" fontId="3" numFmtId="0" xfId="0" applyFont="1"/>
    <xf borderId="2" fillId="0" fontId="2" numFmtId="0" xfId="0" applyBorder="1" applyFont="1"/>
    <xf borderId="1" fillId="3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2.0"/>
    <col customWidth="1" min="6" max="7" width="14.43"/>
    <col customWidth="1" min="8" max="8" width="14.71"/>
    <col customWidth="1" min="9" max="9" width="14.14"/>
    <col customWidth="1" min="10" max="10" width="13.43"/>
    <col customWidth="1" min="11" max="11" width="13.14"/>
    <col customWidth="1" min="12" max="12" width="14.0"/>
    <col customWidth="1" min="13" max="13" width="15.57"/>
    <col customWidth="1" min="14" max="14" width="15.43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>
      <c r="A2" s="2">
        <v>149.9961690843938</v>
      </c>
      <c r="B2" s="2">
        <v>163.3222439618143</v>
      </c>
      <c r="C2" s="2">
        <v>44.25246792653966</v>
      </c>
      <c r="D2" s="2">
        <v>10.76117799346218</v>
      </c>
      <c r="E2" s="2">
        <v>3.425132085264069</v>
      </c>
      <c r="F2" s="2">
        <v>19.77893031776617</v>
      </c>
      <c r="G2" s="2">
        <f t="shared" ref="G2:G51" si="1">ABS(F2-$F$52)</f>
        <v>10.66147427</v>
      </c>
      <c r="H2" s="2">
        <v>0.002758429912059455</v>
      </c>
      <c r="I2" s="2">
        <v>-0.9751930647887058</v>
      </c>
      <c r="J2" s="2">
        <v>-0.9784067265457895</v>
      </c>
      <c r="K2" s="2">
        <v>-0.996611078309117</v>
      </c>
      <c r="L2" s="3">
        <v>-0.001833914526468154</v>
      </c>
      <c r="M2" s="2">
        <v>-0.2439757897124616</v>
      </c>
      <c r="N2" s="2">
        <v>-0.06405211205596328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>
        <v>39.27302616076795</v>
      </c>
      <c r="B3" s="4">
        <v>96.65073470302785</v>
      </c>
      <c r="C3" s="4">
        <v>44.2596823655872</v>
      </c>
      <c r="D3" s="4">
        <v>7.626255584815127</v>
      </c>
      <c r="E3" s="4">
        <v>3.996430512764214</v>
      </c>
      <c r="F3" s="4">
        <v>3.991296236393741</v>
      </c>
      <c r="G3" s="4">
        <f t="shared" si="1"/>
        <v>5.126159812</v>
      </c>
      <c r="H3" s="4">
        <v>0.2768928505633841</v>
      </c>
      <c r="I3" s="4">
        <v>-0.001261465822922813</v>
      </c>
      <c r="J3" s="4">
        <v>-0.4358551253719111</v>
      </c>
      <c r="K3" s="4">
        <v>-0.2788846584718051</v>
      </c>
      <c r="L3" s="4">
        <v>-0.01370750381898002</v>
      </c>
      <c r="M3" s="4">
        <v>-0.510775327934852</v>
      </c>
      <c r="N3" s="4">
        <v>-0.064550434024091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149.9961690843938</v>
      </c>
      <c r="B4" s="5">
        <v>163.3222439618143</v>
      </c>
      <c r="C4" s="5">
        <v>44.25246792653966</v>
      </c>
      <c r="D4" s="5">
        <v>10.76117799346218</v>
      </c>
      <c r="E4" s="5">
        <v>3.431913883357644</v>
      </c>
      <c r="F4" s="5">
        <v>19.77893031776617</v>
      </c>
      <c r="G4" s="5">
        <f t="shared" si="1"/>
        <v>10.66147427</v>
      </c>
      <c r="H4" s="5">
        <v>0.002758429912059455</v>
      </c>
      <c r="I4" s="5">
        <v>-0.9751930647887058</v>
      </c>
      <c r="J4" s="5">
        <v>-0.9784067265457895</v>
      </c>
      <c r="K4" s="5">
        <v>-0.996611078309117</v>
      </c>
      <c r="L4" s="5">
        <v>-0.001833914526468154</v>
      </c>
      <c r="M4" s="5">
        <v>-0.2439757897124616</v>
      </c>
      <c r="N4" s="5">
        <v>-0.06405211205596328</v>
      </c>
      <c r="Q4" s="6">
        <f>SMALL(I2:L3,1)</f>
        <v>-0.9966110783</v>
      </c>
    </row>
    <row r="5">
      <c r="A5" s="5">
        <v>40.39455380208324</v>
      </c>
      <c r="B5" s="5">
        <v>96.64763430719074</v>
      </c>
      <c r="C5" s="5">
        <v>46.39926145702773</v>
      </c>
      <c r="D5" s="5">
        <v>7.608433969081519</v>
      </c>
      <c r="E5" s="5">
        <v>3.856909690628572</v>
      </c>
      <c r="F5" s="5">
        <v>4.136377479461245</v>
      </c>
      <c r="G5" s="5">
        <f t="shared" si="1"/>
        <v>4.981078568</v>
      </c>
      <c r="H5" s="5">
        <v>0.2483720471492331</v>
      </c>
      <c r="I5" s="5">
        <v>-0.08092786511989997</v>
      </c>
      <c r="J5" s="5">
        <v>-0.4707094201937271</v>
      </c>
      <c r="K5" s="5">
        <v>-0.3556958309204165</v>
      </c>
      <c r="L5" s="5">
        <v>-0.08122022817097688</v>
      </c>
      <c r="M5" s="5">
        <v>-0.5182223409879017</v>
      </c>
      <c r="N5" s="5">
        <v>-0.04324555630583436</v>
      </c>
    </row>
    <row r="6">
      <c r="A6" s="5">
        <v>91.5460929682109</v>
      </c>
      <c r="B6" s="5">
        <v>103.7883401243294</v>
      </c>
      <c r="C6" s="5">
        <v>46.49373231978603</v>
      </c>
      <c r="D6" s="5">
        <v>6.899322783940091</v>
      </c>
      <c r="E6" s="5">
        <v>3.780508540118239</v>
      </c>
      <c r="F6" s="5">
        <v>11.24281053667527</v>
      </c>
      <c r="G6" s="5">
        <f t="shared" si="1"/>
        <v>2.125354489</v>
      </c>
      <c r="H6" s="5">
        <v>0.01254404710965889</v>
      </c>
      <c r="I6" s="5">
        <v>-0.9120237792223026</v>
      </c>
      <c r="J6" s="5">
        <v>-0.9256858376226373</v>
      </c>
      <c r="K6" s="5">
        <v>-0.975575653848694</v>
      </c>
      <c r="L6" s="5">
        <v>-0.06185771505776836</v>
      </c>
      <c r="M6" s="5">
        <v>-0.5588556979761384</v>
      </c>
      <c r="N6" s="5">
        <v>-0.04483581022340908</v>
      </c>
    </row>
    <row r="7">
      <c r="A7" s="5">
        <v>41.21569386897754</v>
      </c>
      <c r="B7" s="5">
        <v>85.09837227456428</v>
      </c>
      <c r="C7" s="5">
        <v>44.29991407864597</v>
      </c>
      <c r="D7" s="5">
        <v>7.402404191068625</v>
      </c>
      <c r="E7" s="5">
        <v>3.665883681584519</v>
      </c>
      <c r="F7" s="5">
        <v>4.189944590181329</v>
      </c>
      <c r="G7" s="5">
        <f t="shared" si="1"/>
        <v>4.927511458</v>
      </c>
      <c r="H7" s="5">
        <v>0.2294648158578835</v>
      </c>
      <c r="I7" s="5">
        <v>-0.1343755619484479</v>
      </c>
      <c r="J7" s="5">
        <v>-0.494645305831043</v>
      </c>
      <c r="K7" s="5">
        <v>-0.4055275396870416</v>
      </c>
      <c r="L7" s="5">
        <v>-0.005286540193222258</v>
      </c>
      <c r="M7" s="5">
        <v>-0.5236747619281222</v>
      </c>
      <c r="N7" s="5">
        <v>-0.06684560364909452</v>
      </c>
    </row>
    <row r="8">
      <c r="A8" s="5">
        <v>42.47350405438959</v>
      </c>
      <c r="B8" s="5">
        <v>88.80885814706335</v>
      </c>
      <c r="C8" s="5">
        <v>46.30975501584203</v>
      </c>
      <c r="D8" s="5">
        <v>7.534578042333488</v>
      </c>
      <c r="E8" s="5">
        <v>4.972514937085482</v>
      </c>
      <c r="F8" s="5">
        <v>4.386510121177126</v>
      </c>
      <c r="G8" s="5">
        <f t="shared" si="1"/>
        <v>4.730945927</v>
      </c>
      <c r="H8" s="5">
        <v>0.2045561330898321</v>
      </c>
      <c r="I8" s="5">
        <v>-0.2075719141955485</v>
      </c>
      <c r="J8" s="5">
        <v>-0.527981524528855</v>
      </c>
      <c r="K8" s="5">
        <v>-0.4728795855613091</v>
      </c>
      <c r="L8" s="5">
        <v>-0.1118391307738914</v>
      </c>
      <c r="M8" s="5">
        <v>-0.5320266995210622</v>
      </c>
      <c r="N8" s="5">
        <v>-0.04245481561030056</v>
      </c>
    </row>
    <row r="9">
      <c r="A9" s="5">
        <v>84.94424565051315</v>
      </c>
      <c r="B9" s="5">
        <v>107.6036243650115</v>
      </c>
      <c r="C9" s="5">
        <v>44.21924353926072</v>
      </c>
      <c r="D9" s="5">
        <v>7.610769047978329</v>
      </c>
      <c r="E9" s="5">
        <v>3.805911931176835</v>
      </c>
      <c r="F9" s="5">
        <v>10.03000115172888</v>
      </c>
      <c r="G9" s="5">
        <f t="shared" si="1"/>
        <v>0.9125451038</v>
      </c>
      <c r="H9" s="5">
        <v>0.01629296837527076</v>
      </c>
      <c r="I9" s="5">
        <v>-0.8915595079523363</v>
      </c>
      <c r="J9" s="5">
        <v>-0.9097610535616109</v>
      </c>
      <c r="K9" s="5">
        <v>-0.9670506882887868</v>
      </c>
      <c r="L9" s="5">
        <v>-0.00423110760090595</v>
      </c>
      <c r="M9" s="5">
        <v>-0.5095394381665165</v>
      </c>
      <c r="N9" s="5">
        <v>-0.06269851596205239</v>
      </c>
    </row>
    <row r="10">
      <c r="A10" s="5">
        <v>106.4880023895021</v>
      </c>
      <c r="B10" s="5">
        <v>121.1827452596217</v>
      </c>
      <c r="C10" s="5">
        <v>44.34059605725156</v>
      </c>
      <c r="D10" s="5">
        <v>5.045272614555067</v>
      </c>
      <c r="E10" s="5">
        <v>4.967949954163846</v>
      </c>
      <c r="F10" s="5">
        <v>14.31260283422783</v>
      </c>
      <c r="G10" s="5">
        <f t="shared" si="1"/>
        <v>5.195146786</v>
      </c>
      <c r="H10" s="5">
        <v>0.007522806137784733</v>
      </c>
      <c r="I10" s="5">
        <v>-0.9418528345060544</v>
      </c>
      <c r="J10" s="5">
        <v>-0.9501626274762144</v>
      </c>
      <c r="K10" s="5">
        <v>-0.9866592734622684</v>
      </c>
      <c r="L10" s="5">
        <v>-0.1112309262398011</v>
      </c>
      <c r="M10" s="5">
        <v>-0.6704728032516365</v>
      </c>
      <c r="N10" s="5">
        <v>-0.06864501623118074</v>
      </c>
    </row>
    <row r="11">
      <c r="A11" s="5">
        <v>142.5475683178943</v>
      </c>
      <c r="B11" s="5">
        <v>96.82097203334155</v>
      </c>
      <c r="C11" s="5">
        <v>44.25566697713214</v>
      </c>
      <c r="D11" s="5">
        <v>11.48238156252377</v>
      </c>
      <c r="E11" s="5">
        <v>3.995481319149905</v>
      </c>
      <c r="F11" s="5">
        <v>18.23023913651901</v>
      </c>
      <c r="G11" s="5">
        <f t="shared" si="1"/>
        <v>9.112783089</v>
      </c>
      <c r="H11" s="5">
        <v>0.003234698944543971</v>
      </c>
      <c r="I11" s="5">
        <v>-0.97175778884703</v>
      </c>
      <c r="J11" s="5">
        <v>-0.9751653118129125</v>
      </c>
      <c r="K11" s="5">
        <v>-0.9958452686225381</v>
      </c>
      <c r="L11" s="5">
        <v>-2.833285503657986E-6</v>
      </c>
      <c r="M11" s="5">
        <v>-0.1697870335574771</v>
      </c>
      <c r="N11" s="5">
        <v>-0.064273079642893</v>
      </c>
    </row>
    <row r="12">
      <c r="A12" s="5">
        <v>145.7032945844006</v>
      </c>
      <c r="B12" s="5">
        <v>137.3168641831206</v>
      </c>
      <c r="C12" s="5">
        <v>44.30057455032795</v>
      </c>
      <c r="D12" s="5">
        <v>11.75720365525117</v>
      </c>
      <c r="E12" s="5">
        <v>4.191780654361918</v>
      </c>
      <c r="F12" s="5">
        <v>18.99906798623254</v>
      </c>
      <c r="G12" s="5">
        <f t="shared" si="1"/>
        <v>9.881611938</v>
      </c>
      <c r="H12" s="5">
        <v>0.003027669852348021</v>
      </c>
      <c r="I12" s="5">
        <v>-0.9732587454327709</v>
      </c>
      <c r="J12" s="5">
        <v>-0.9765361514641665</v>
      </c>
      <c r="K12" s="5">
        <v>-0.9961936851023481</v>
      </c>
      <c r="L12" s="5">
        <v>-0.09667408294643365</v>
      </c>
      <c r="M12" s="5">
        <v>-0.2012183605700191</v>
      </c>
      <c r="N12" s="5">
        <v>-0.06687481710171914</v>
      </c>
    </row>
    <row r="13">
      <c r="A13" s="5">
        <v>48.25254042807558</v>
      </c>
      <c r="B13" s="5">
        <v>103.1264854149459</v>
      </c>
      <c r="C13" s="5">
        <v>45.94107173926076</v>
      </c>
      <c r="D13" s="5">
        <v>6.607652805080797</v>
      </c>
      <c r="E13" s="5">
        <v>3.470952986090757</v>
      </c>
      <c r="F13" s="5">
        <v>5.016762634753823</v>
      </c>
      <c r="G13" s="5">
        <f t="shared" si="1"/>
        <v>4.100693413</v>
      </c>
      <c r="H13" s="5">
        <v>0.1249510959924355</v>
      </c>
      <c r="I13" s="5">
        <v>-0.4562843093057131</v>
      </c>
      <c r="J13" s="5">
        <v>-0.6488367270363767</v>
      </c>
      <c r="K13" s="5">
        <v>-0.6835526453258856</v>
      </c>
      <c r="L13" s="5">
        <v>-0.02025372201340724</v>
      </c>
      <c r="M13" s="5">
        <v>-0.5703998592395474</v>
      </c>
      <c r="N13" s="5">
        <v>-0.05041894989999474</v>
      </c>
    </row>
    <row r="14">
      <c r="A14" s="5">
        <v>39.88423065240404</v>
      </c>
      <c r="B14" s="5">
        <v>116.7956626162571</v>
      </c>
      <c r="C14" s="5">
        <v>46.00411547230406</v>
      </c>
      <c r="D14" s="5">
        <v>7.495680233989542</v>
      </c>
      <c r="E14" s="5">
        <v>4.723193736607579</v>
      </c>
      <c r="F14" s="5">
        <v>4.045325717517918</v>
      </c>
      <c r="G14" s="5">
        <f t="shared" si="1"/>
        <v>5.07213033</v>
      </c>
      <c r="H14" s="5">
        <v>0.2606832706078638</v>
      </c>
      <c r="I14" s="5">
        <v>-0.04600633461306743</v>
      </c>
      <c r="J14" s="5">
        <v>-0.4553634474793073</v>
      </c>
      <c r="K14" s="5">
        <v>-0.3220817491421313</v>
      </c>
      <c r="L14" s="5">
        <v>-0.03273507677182418</v>
      </c>
      <c r="M14" s="5">
        <v>-0.5148337636430959</v>
      </c>
      <c r="N14" s="5">
        <v>-0.04784287369697046</v>
      </c>
    </row>
    <row r="15">
      <c r="A15" s="5">
        <v>80.02976872858329</v>
      </c>
      <c r="B15" s="5">
        <v>148.9456849228321</v>
      </c>
      <c r="C15" s="5">
        <v>38.84616872661906</v>
      </c>
      <c r="D15" s="5">
        <v>9.633868395709047</v>
      </c>
      <c r="E15" s="5">
        <v>4.256630730141255</v>
      </c>
      <c r="F15" s="5">
        <v>9.485388364496316</v>
      </c>
      <c r="G15" s="5">
        <f t="shared" si="1"/>
        <v>0.3679323166</v>
      </c>
      <c r="H15" s="5">
        <v>0.02028338196918528</v>
      </c>
      <c r="I15" s="5">
        <v>-0.8713283543782708</v>
      </c>
      <c r="J15" s="5">
        <v>-0.8944343941421197</v>
      </c>
      <c r="K15" s="5">
        <v>-0.9581807774025365</v>
      </c>
      <c r="L15" s="5">
        <v>-0.1944384730008251</v>
      </c>
      <c r="M15" s="5">
        <v>-0.4728279528735178</v>
      </c>
      <c r="N15" s="5">
        <v>-0.1341975674058392</v>
      </c>
    </row>
    <row r="16">
      <c r="A16" s="5">
        <v>52.98877902729164</v>
      </c>
      <c r="B16" s="5">
        <v>141.2562185621853</v>
      </c>
      <c r="C16" s="5">
        <v>46.21655340211647</v>
      </c>
      <c r="D16" s="5">
        <v>11.00277414641148</v>
      </c>
      <c r="E16" s="5">
        <v>4.385013615353005</v>
      </c>
      <c r="F16" s="5">
        <v>5.584193076075056</v>
      </c>
      <c r="G16" s="5">
        <f t="shared" si="1"/>
        <v>3.533262972</v>
      </c>
      <c r="H16" s="5">
        <v>0.09364432716308992</v>
      </c>
      <c r="I16" s="5">
        <v>-0.5765608913763535</v>
      </c>
      <c r="J16" s="5">
        <v>-0.7101762195385073</v>
      </c>
      <c r="K16" s="5">
        <v>-0.7824061821081021</v>
      </c>
      <c r="L16" s="5">
        <v>-0.1315918966995261</v>
      </c>
      <c r="M16" s="5">
        <v>-0.2708298742382699</v>
      </c>
      <c r="N16" s="5">
        <v>-0.04379240409468212</v>
      </c>
    </row>
    <row r="17">
      <c r="A17" s="5">
        <v>45.78521505377173</v>
      </c>
      <c r="B17" s="5">
        <v>104.199999537312</v>
      </c>
      <c r="C17" s="5">
        <v>44.34731012367755</v>
      </c>
      <c r="D17" s="5">
        <v>7.170484930019207</v>
      </c>
      <c r="E17" s="5">
        <v>3.458556046553677</v>
      </c>
      <c r="F17" s="5">
        <v>4.763148022473014</v>
      </c>
      <c r="G17" s="5">
        <f t="shared" si="1"/>
        <v>4.354308025</v>
      </c>
      <c r="H17" s="5">
        <v>0.1530342471715896</v>
      </c>
      <c r="I17" s="5">
        <v>-0.365156607494481</v>
      </c>
      <c r="J17" s="5">
        <v>-0.6030463113990392</v>
      </c>
      <c r="K17" s="5">
        <v>-0.6096257444841364</v>
      </c>
      <c r="L17" s="5">
        <v>-0.06900644585553078</v>
      </c>
      <c r="M17" s="5">
        <v>-0.554016665823991</v>
      </c>
      <c r="N17" s="5">
        <v>-0.06894198742132493</v>
      </c>
    </row>
    <row r="18">
      <c r="A18" s="5">
        <v>44.68451802213747</v>
      </c>
      <c r="B18" s="5">
        <v>113.3271392311106</v>
      </c>
      <c r="C18" s="5">
        <v>44.34314133748104</v>
      </c>
      <c r="D18" s="5">
        <v>7.241806226208575</v>
      </c>
      <c r="E18" s="5">
        <v>4.400187220715095</v>
      </c>
      <c r="F18" s="5">
        <v>4.622599313593159</v>
      </c>
      <c r="G18" s="5">
        <f t="shared" si="1"/>
        <v>4.494856734</v>
      </c>
      <c r="H18" s="5">
        <v>0.1680356850464036</v>
      </c>
      <c r="I18" s="5">
        <v>-0.3179834304494778</v>
      </c>
      <c r="J18" s="5">
        <v>-0.580095076354249</v>
      </c>
      <c r="K18" s="5">
        <v>-0.5697172941060883</v>
      </c>
      <c r="L18" s="5">
        <v>-0.05694117973375978</v>
      </c>
      <c r="M18" s="5">
        <v>-0.54670796931035</v>
      </c>
      <c r="N18" s="5">
        <v>-0.06875759702068206</v>
      </c>
    </row>
    <row r="19">
      <c r="A19" s="5">
        <v>138.4806924507855</v>
      </c>
      <c r="B19" s="5">
        <v>96.20489074855426</v>
      </c>
      <c r="C19" s="5">
        <v>46.16313365779442</v>
      </c>
      <c r="D19" s="5">
        <v>11.69617539441607</v>
      </c>
      <c r="E19" s="5">
        <v>4.704785275520714</v>
      </c>
      <c r="F19" s="5">
        <v>17.39372569409047</v>
      </c>
      <c r="G19" s="5">
        <f t="shared" si="1"/>
        <v>8.276269646</v>
      </c>
      <c r="H19" s="5">
        <v>0.00354454208519155</v>
      </c>
      <c r="I19" s="5">
        <v>-0.9695762653301454</v>
      </c>
      <c r="J19" s="5">
        <v>-0.9731181216485788</v>
      </c>
      <c r="K19" s="5">
        <v>-0.9953352830465847</v>
      </c>
      <c r="L19" s="5">
        <v>-0.01344646641576618</v>
      </c>
      <c r="M19" s="5">
        <v>-0.1292805718103913</v>
      </c>
      <c r="N19" s="5">
        <v>-0.04463222459905429</v>
      </c>
    </row>
    <row r="20">
      <c r="A20" s="5">
        <v>112.2449813244965</v>
      </c>
      <c r="B20" s="5">
        <v>150.6340095510661</v>
      </c>
      <c r="C20" s="5">
        <v>44.2612735243229</v>
      </c>
      <c r="D20" s="5">
        <v>5.220830787362531</v>
      </c>
      <c r="E20" s="5">
        <v>3.618783187903666</v>
      </c>
      <c r="F20" s="5">
        <v>15.81986258134923</v>
      </c>
      <c r="G20" s="5">
        <f t="shared" si="1"/>
        <v>6.702406533</v>
      </c>
      <c r="H20" s="5">
        <v>0.006347237943886241</v>
      </c>
      <c r="I20" s="5">
        <v>-0.9494544535155796</v>
      </c>
      <c r="J20" s="5">
        <v>-0.956629662802589</v>
      </c>
      <c r="K20" s="5">
        <v>-0.9891927680010256</v>
      </c>
      <c r="L20" s="5">
        <v>-0.5102531588843856</v>
      </c>
      <c r="M20" s="5">
        <v>-0.7097612736879207</v>
      </c>
      <c r="N20" s="5">
        <v>-0.06466033991525727</v>
      </c>
    </row>
    <row r="21" ht="15.75" customHeight="1">
      <c r="A21" s="5">
        <v>49.38856399774161</v>
      </c>
      <c r="B21" s="5">
        <v>84.87608195226721</v>
      </c>
      <c r="C21" s="5">
        <v>45.91425781519813</v>
      </c>
      <c r="D21" s="5">
        <v>6.607652805080797</v>
      </c>
      <c r="E21" s="5">
        <v>3.470952986090757</v>
      </c>
      <c r="F21" s="5">
        <v>5.193341667953138</v>
      </c>
      <c r="G21" s="5">
        <f t="shared" si="1"/>
        <v>3.92411438</v>
      </c>
      <c r="H21" s="5">
        <v>0.1143949086791956</v>
      </c>
      <c r="I21" s="5">
        <v>-0.4920923309336829</v>
      </c>
      <c r="J21" s="5">
        <v>-0.6673438526759945</v>
      </c>
      <c r="K21" s="5">
        <v>-0.7116787801363453</v>
      </c>
      <c r="L21" s="5">
        <v>-0.05581684257267112</v>
      </c>
      <c r="M21" s="5">
        <v>-0.5779431261553352</v>
      </c>
      <c r="N21" s="5">
        <v>-0.05191584208471536</v>
      </c>
    </row>
    <row r="22" ht="15.75" customHeight="1">
      <c r="A22" s="5">
        <v>55.53122910900622</v>
      </c>
      <c r="B22" s="5">
        <v>159.410860311706</v>
      </c>
      <c r="C22" s="5">
        <v>44.69742084812945</v>
      </c>
      <c r="D22" s="5">
        <v>10.5637467993393</v>
      </c>
      <c r="E22" s="5">
        <v>3.500753254589466</v>
      </c>
      <c r="F22" s="5">
        <v>5.818047333336611</v>
      </c>
      <c r="G22" s="5">
        <f t="shared" si="1"/>
        <v>3.299408715</v>
      </c>
      <c r="H22" s="5">
        <v>0.07814934698344994</v>
      </c>
      <c r="I22" s="5">
        <v>-0.6312007836674421</v>
      </c>
      <c r="J22" s="5">
        <v>-0.7409447156827124</v>
      </c>
      <c r="K22" s="5">
        <v>-0.8196014434467428</v>
      </c>
      <c r="L22" s="5">
        <v>-0.06313191833181436</v>
      </c>
      <c r="M22" s="5">
        <v>-0.2898221536335704</v>
      </c>
      <c r="N22" s="5">
        <v>-0.07712338637275466</v>
      </c>
    </row>
    <row r="23" ht="15.75" customHeight="1">
      <c r="A23" s="5">
        <v>43.34829471349207</v>
      </c>
      <c r="B23" s="5">
        <v>98.71813520244221</v>
      </c>
      <c r="C23" s="5">
        <v>44.25866439430759</v>
      </c>
      <c r="D23" s="5">
        <v>7.18911586356155</v>
      </c>
      <c r="E23" s="5">
        <v>3.844368564771694</v>
      </c>
      <c r="F23" s="5">
        <v>4.425345259123356</v>
      </c>
      <c r="G23" s="5">
        <f t="shared" si="1"/>
        <v>4.692110789</v>
      </c>
      <c r="H23" s="5">
        <v>0.1887255865480899</v>
      </c>
      <c r="I23" s="5">
        <v>-0.2543235104233645</v>
      </c>
      <c r="J23" s="5">
        <v>-0.549844278704049</v>
      </c>
      <c r="K23" s="5">
        <v>-0.5141590322152029</v>
      </c>
      <c r="L23" s="5">
        <v>-0.004008889148159636</v>
      </c>
      <c r="M23" s="5">
        <v>-0.5378353637189252</v>
      </c>
      <c r="N23" s="5">
        <v>-0.06448011983220354</v>
      </c>
    </row>
    <row r="24" ht="15.75" customHeight="1">
      <c r="A24" s="5">
        <v>116.8723305107179</v>
      </c>
      <c r="B24" s="5">
        <v>164.1153005451778</v>
      </c>
      <c r="C24" s="5">
        <v>39.07263958034312</v>
      </c>
      <c r="D24" s="5">
        <v>5.001870926207161</v>
      </c>
      <c r="E24" s="5">
        <v>4.955204288367044</v>
      </c>
      <c r="F24" s="5">
        <v>17.00686394343117</v>
      </c>
      <c r="G24" s="5">
        <f t="shared" si="1"/>
        <v>7.889407896</v>
      </c>
      <c r="H24" s="5">
        <v>0.00557723135265996</v>
      </c>
      <c r="I24" s="5">
        <v>-0.9545720289892562</v>
      </c>
      <c r="J24" s="5">
        <v>-0.9610635290541794</v>
      </c>
      <c r="K24" s="5">
        <v>-0.9908053461154456</v>
      </c>
      <c r="L24" s="5">
        <v>-0.7334399241979591</v>
      </c>
      <c r="M24" s="5">
        <v>-0.6360294036610653</v>
      </c>
      <c r="N24" s="5">
        <v>-0.1440678210444085</v>
      </c>
    </row>
    <row r="25" ht="15.75" customHeight="1">
      <c r="A25" s="5">
        <v>73.38093384866265</v>
      </c>
      <c r="B25" s="5">
        <v>123.3567079330248</v>
      </c>
      <c r="C25" s="5">
        <v>46.20584435849388</v>
      </c>
      <c r="D25" s="5">
        <v>9.671822368519425</v>
      </c>
      <c r="E25" s="5">
        <v>2.972361499255315</v>
      </c>
      <c r="F25" s="5">
        <v>8.319052202760659</v>
      </c>
      <c r="G25" s="5">
        <f t="shared" si="1"/>
        <v>0.7984038452</v>
      </c>
      <c r="H25" s="5">
        <v>0.02769185527264435</v>
      </c>
      <c r="I25" s="5">
        <v>-0.8354068069474825</v>
      </c>
      <c r="J25" s="5">
        <v>-0.8687345708303673</v>
      </c>
      <c r="K25" s="5">
        <v>-0.9408371256530988</v>
      </c>
      <c r="L25" s="5">
        <v>-0.2167065260502821</v>
      </c>
      <c r="M25" s="5">
        <v>-0.4231606926976508</v>
      </c>
      <c r="N25" s="5">
        <v>-0.04396076271433834</v>
      </c>
    </row>
    <row r="26" ht="15.75" customHeight="1">
      <c r="A26" s="5">
        <v>70.10195280165054</v>
      </c>
      <c r="B26" s="5">
        <v>166.6382445293385</v>
      </c>
      <c r="C26" s="5">
        <v>44.2527562004181</v>
      </c>
      <c r="D26" s="5">
        <v>10.76394881271103</v>
      </c>
      <c r="E26" s="5">
        <v>3.475717696505918</v>
      </c>
      <c r="F26" s="5">
        <v>7.985659529441943</v>
      </c>
      <c r="G26" s="5">
        <f t="shared" si="1"/>
        <v>1.131796518</v>
      </c>
      <c r="H26" s="5">
        <v>0.03289311195467495</v>
      </c>
      <c r="I26" s="5">
        <v>-0.8119966137801032</v>
      </c>
      <c r="J26" s="5">
        <v>-0.8525225396857042</v>
      </c>
      <c r="K26" s="5">
        <v>-0.9289667413716104</v>
      </c>
      <c r="L26" s="5">
        <v>-0.2934397813251167</v>
      </c>
      <c r="M26" s="5">
        <v>-0.3986664756333175</v>
      </c>
      <c r="N26" s="5">
        <v>-0.06407202395840235</v>
      </c>
    </row>
    <row r="27" ht="15.75" customHeight="1">
      <c r="A27" s="5">
        <v>57.78110891964621</v>
      </c>
      <c r="B27" s="5">
        <v>168.1631367977109</v>
      </c>
      <c r="C27" s="5">
        <v>46.10360192508692</v>
      </c>
      <c r="D27" s="5">
        <v>10.69782241659807</v>
      </c>
      <c r="E27" s="5">
        <v>3.472089991395686</v>
      </c>
      <c r="F27" s="5">
        <v>6.142672709770181</v>
      </c>
      <c r="G27" s="5">
        <f t="shared" si="1"/>
        <v>2.974783338</v>
      </c>
      <c r="H27" s="5">
        <v>0.06735556029897014</v>
      </c>
      <c r="I27" s="5">
        <v>-0.6713806678550633</v>
      </c>
      <c r="J27" s="5">
        <v>-0.7642144012926979</v>
      </c>
      <c r="K27" s="5">
        <v>-0.846099967039195</v>
      </c>
      <c r="L27" s="5">
        <v>-0.1448463577140843</v>
      </c>
      <c r="M27" s="5">
        <v>-0.306628912703036</v>
      </c>
      <c r="N27" s="5">
        <v>-0.04648060450762272</v>
      </c>
    </row>
    <row r="28" ht="15.75" customHeight="1">
      <c r="A28" s="5">
        <v>61.83085368121138</v>
      </c>
      <c r="B28" s="5">
        <v>138.8010778860614</v>
      </c>
      <c r="C28" s="5">
        <v>46.20584435849388</v>
      </c>
      <c r="D28" s="5">
        <v>9.671822368519425</v>
      </c>
      <c r="E28" s="5">
        <v>2.972361499255315</v>
      </c>
      <c r="F28" s="5">
        <v>6.492711365852297</v>
      </c>
      <c r="G28" s="5">
        <f t="shared" si="1"/>
        <v>2.624744682</v>
      </c>
      <c r="H28" s="5">
        <v>0.05189599343419347</v>
      </c>
      <c r="I28" s="5">
        <v>-0.7307855461062507</v>
      </c>
      <c r="J28" s="5">
        <v>-0.8002835047398966</v>
      </c>
      <c r="K28" s="5">
        <v>-0.8826288846055504</v>
      </c>
      <c r="L28" s="5">
        <v>-0.02424007957215507</v>
      </c>
      <c r="M28" s="5">
        <v>-0.3368807884603887</v>
      </c>
      <c r="N28" s="5">
        <v>-0.04396076271433834</v>
      </c>
    </row>
    <row r="29" ht="15.75" customHeight="1">
      <c r="A29" s="5">
        <v>94.7187285256641</v>
      </c>
      <c r="B29" s="5">
        <v>112.7684027481303</v>
      </c>
      <c r="C29" s="5">
        <v>44.4738419484197</v>
      </c>
      <c r="D29" s="5">
        <v>7.224882531109526</v>
      </c>
      <c r="E29" s="5">
        <v>3.459002536123444</v>
      </c>
      <c r="F29" s="5">
        <v>12.00200502485557</v>
      </c>
      <c r="G29" s="5">
        <f t="shared" si="1"/>
        <v>2.884548977</v>
      </c>
      <c r="H29" s="5">
        <v>0.01118441839922263</v>
      </c>
      <c r="I29" s="5">
        <v>-0.9198600090867973</v>
      </c>
      <c r="J29" s="5">
        <v>-0.9319105295939212</v>
      </c>
      <c r="K29" s="5">
        <v>-0.9786872856456891</v>
      </c>
      <c r="L29" s="5">
        <v>-0.2037414002774804</v>
      </c>
      <c r="M29" s="5">
        <v>-0.5825555068180021</v>
      </c>
      <c r="N29" s="5">
        <v>-0.07453864140128023</v>
      </c>
    </row>
    <row r="30" ht="15.75" customHeight="1">
      <c r="A30" s="5">
        <v>44.24946111691531</v>
      </c>
      <c r="B30" s="5">
        <v>81.1612340290626</v>
      </c>
      <c r="C30" s="5">
        <v>44.35940468513108</v>
      </c>
      <c r="D30" s="5">
        <v>7.225206586533009</v>
      </c>
      <c r="E30" s="5">
        <v>3.994233177186581</v>
      </c>
      <c r="F30" s="5">
        <v>4.559361977998381</v>
      </c>
      <c r="G30" s="5">
        <f t="shared" si="1"/>
        <v>4.55809407</v>
      </c>
      <c r="H30" s="5">
        <v>0.1744444252419075</v>
      </c>
      <c r="I30" s="5">
        <v>-0.2980833320448962</v>
      </c>
      <c r="J30" s="5">
        <v>-0.5705555608539592</v>
      </c>
      <c r="K30" s="5">
        <v>-0.5525440800695968</v>
      </c>
      <c r="L30" s="5">
        <v>-0.04096879825041825</v>
      </c>
      <c r="M30" s="5">
        <v>-0.5438191644939041</v>
      </c>
      <c r="N30" s="5">
        <v>-0.06947694434328963</v>
      </c>
    </row>
    <row r="31" ht="15.75" customHeight="1">
      <c r="A31" s="5">
        <v>52.43745050706538</v>
      </c>
      <c r="B31" s="5">
        <v>142.3334843237421</v>
      </c>
      <c r="C31" s="5">
        <v>44.31087290909903</v>
      </c>
      <c r="D31" s="5">
        <v>10.76327862296999</v>
      </c>
      <c r="E31" s="5">
        <v>3.833548605470036</v>
      </c>
      <c r="F31" s="5">
        <v>5.45706771304862</v>
      </c>
      <c r="G31" s="5">
        <f t="shared" si="1"/>
        <v>3.660388335</v>
      </c>
      <c r="H31" s="5">
        <v>0.09721677298154983</v>
      </c>
      <c r="I31" s="5">
        <v>-0.5637680644202201</v>
      </c>
      <c r="J31" s="5">
        <v>-0.7032354693188356</v>
      </c>
      <c r="K31" s="5">
        <v>-0.7731096998744597</v>
      </c>
      <c r="L31" s="5">
        <v>-0.04617391278720771</v>
      </c>
      <c r="M31" s="5">
        <v>-0.2667114117480749</v>
      </c>
      <c r="N31" s="5">
        <v>-0.06733032583021929</v>
      </c>
    </row>
    <row r="32" ht="15.75" customHeight="1">
      <c r="A32" s="5">
        <v>100.9518836117023</v>
      </c>
      <c r="B32" s="5">
        <v>112.7684027481303</v>
      </c>
      <c r="C32" s="5">
        <v>44.50483835242035</v>
      </c>
      <c r="D32" s="5">
        <v>7.224882531109526</v>
      </c>
      <c r="E32" s="5">
        <v>3.424704324150012</v>
      </c>
      <c r="F32" s="5">
        <v>13.4244077939184</v>
      </c>
      <c r="G32" s="5">
        <f t="shared" si="1"/>
        <v>4.306951746</v>
      </c>
      <c r="H32" s="5">
        <v>0.009027901477352036</v>
      </c>
      <c r="I32" s="5">
        <v>-0.9326615607263039</v>
      </c>
      <c r="J32" s="5">
        <v>-0.9423590944715688</v>
      </c>
      <c r="K32" s="5">
        <v>-0.9834832537730224</v>
      </c>
      <c r="L32" s="5">
        <v>-0.3967767905312085</v>
      </c>
      <c r="M32" s="5">
        <v>-0.62911760994824</v>
      </c>
      <c r="N32" s="5">
        <v>-0.07609377146425929</v>
      </c>
    </row>
    <row r="33" ht="15.75" customHeight="1">
      <c r="A33" s="5">
        <v>69.0529691735596</v>
      </c>
      <c r="B33" s="5">
        <v>107.4815213384124</v>
      </c>
      <c r="C33" s="5">
        <v>41.79388291990212</v>
      </c>
      <c r="D33" s="5">
        <v>9.640568010082708</v>
      </c>
      <c r="E33" s="5">
        <v>3.786456415396659</v>
      </c>
      <c r="F33" s="5">
        <v>7.585952151319995</v>
      </c>
      <c r="G33" s="5">
        <f t="shared" si="1"/>
        <v>1.531503897</v>
      </c>
      <c r="H33" s="5">
        <v>0.03452446775163146</v>
      </c>
      <c r="I33" s="5">
        <v>-0.804196930679425</v>
      </c>
      <c r="J33" s="5">
        <v>-0.8474536762641782</v>
      </c>
      <c r="K33" s="5">
        <v>-0.9245511241561559</v>
      </c>
      <c r="L33" s="5">
        <v>-0.04873939799378958</v>
      </c>
      <c r="M33" s="5">
        <v>-0.3908304947859125</v>
      </c>
      <c r="N33" s="5">
        <v>-0.09885326058141279</v>
      </c>
    </row>
    <row r="34" ht="15.75" customHeight="1">
      <c r="A34" s="5">
        <v>47.13067965130077</v>
      </c>
      <c r="B34" s="5">
        <v>104.1938310644141</v>
      </c>
      <c r="C34" s="5">
        <v>44.30716022966485</v>
      </c>
      <c r="D34" s="5">
        <v>7.269636299397226</v>
      </c>
      <c r="E34" s="5">
        <v>3.066432152379571</v>
      </c>
      <c r="F34" s="5">
        <v>4.977373519957529</v>
      </c>
      <c r="G34" s="5">
        <f t="shared" si="1"/>
        <v>4.140082528</v>
      </c>
      <c r="H34" s="5">
        <v>0.1370798757814883</v>
      </c>
      <c r="I34" s="5">
        <v>-0.4168219019031405</v>
      </c>
      <c r="J34" s="5">
        <v>-0.6286937265040083</v>
      </c>
      <c r="K34" s="5">
        <v>-0.6523298601036968</v>
      </c>
      <c r="L34" s="5">
        <v>-0.1300280990332778</v>
      </c>
      <c r="M34" s="5">
        <v>-0.5629506341463982</v>
      </c>
      <c r="N34" s="5">
        <v>-0.06716610957732085</v>
      </c>
    </row>
    <row r="35" ht="15.75" customHeight="1">
      <c r="A35" s="5">
        <v>39.45943748419665</v>
      </c>
      <c r="B35" s="5">
        <v>96.64763430719074</v>
      </c>
      <c r="C35" s="5">
        <v>46.423117312391</v>
      </c>
      <c r="D35" s="5">
        <v>7.530197054149745</v>
      </c>
      <c r="E35" s="5">
        <v>4.390666033407952</v>
      </c>
      <c r="F35" s="5">
        <v>4.004381389661416</v>
      </c>
      <c r="G35" s="5">
        <f t="shared" si="1"/>
        <v>5.113074658</v>
      </c>
      <c r="H35" s="5">
        <v>0.2718039366687636</v>
      </c>
      <c r="I35" s="5">
        <v>-0.0152215089527866</v>
      </c>
      <c r="J35" s="5">
        <v>-0.4419191915045508</v>
      </c>
      <c r="K35" s="5">
        <v>-0.2924149585412618</v>
      </c>
      <c r="L35" s="5">
        <v>-0.03986465964385925</v>
      </c>
      <c r="M35" s="5">
        <v>-0.5120131106765968</v>
      </c>
      <c r="N35" s="5">
        <v>-0.04345630980482908</v>
      </c>
    </row>
    <row r="36" ht="15.75" customHeight="1">
      <c r="A36" s="5">
        <v>41.85927378880474</v>
      </c>
      <c r="B36" s="5">
        <v>104.199999537312</v>
      </c>
      <c r="C36" s="5">
        <v>47.99374451329875</v>
      </c>
      <c r="D36" s="5">
        <v>7.256599330117752</v>
      </c>
      <c r="E36" s="5">
        <v>4.774409461656672</v>
      </c>
      <c r="F36" s="5">
        <v>4.260135761271209</v>
      </c>
      <c r="G36" s="5">
        <f t="shared" si="1"/>
        <v>4.857320287</v>
      </c>
      <c r="H36" s="5">
        <v>0.2160874512172474</v>
      </c>
      <c r="I36" s="5">
        <v>-0.1731496892044716</v>
      </c>
      <c r="J36" s="5">
        <v>-0.512238167878779</v>
      </c>
      <c r="K36" s="5">
        <v>-0.4412526910864555</v>
      </c>
      <c r="L36" s="5">
        <v>-0.06052738024150119</v>
      </c>
      <c r="M36" s="5">
        <v>-0.5279481724862545</v>
      </c>
      <c r="N36" s="5">
        <v>-0.01469570306302484</v>
      </c>
    </row>
    <row r="37" ht="15.75" customHeight="1">
      <c r="A37" s="5">
        <v>43.61733665715307</v>
      </c>
      <c r="B37" s="5">
        <v>104.865268358919</v>
      </c>
      <c r="C37" s="5">
        <v>44.30983050884061</v>
      </c>
      <c r="D37" s="5">
        <v>7.279219718109596</v>
      </c>
      <c r="E37" s="5">
        <v>4.777905261109015</v>
      </c>
      <c r="F37" s="5">
        <v>4.482320445784754</v>
      </c>
      <c r="G37" s="5">
        <f t="shared" si="1"/>
        <v>4.635135602</v>
      </c>
      <c r="H37" s="5">
        <v>0.184393616836306</v>
      </c>
      <c r="I37" s="5">
        <v>-0.2676506442575416</v>
      </c>
      <c r="J37" s="5">
        <v>-0.5560953632180797</v>
      </c>
      <c r="K37" s="5">
        <v>-0.5260357018268818</v>
      </c>
      <c r="L37" s="5">
        <v>-0.03689651073202906</v>
      </c>
      <c r="M37" s="5">
        <v>-0.5396218189006375</v>
      </c>
      <c r="N37" s="5">
        <v>-0.06728421921975343</v>
      </c>
    </row>
    <row r="38" ht="15.75" customHeight="1">
      <c r="A38" s="5">
        <v>55.83168615046583</v>
      </c>
      <c r="B38" s="5">
        <v>148.9777864959586</v>
      </c>
      <c r="C38" s="5">
        <v>44.6459786033712</v>
      </c>
      <c r="D38" s="5">
        <v>10.60957322396495</v>
      </c>
      <c r="E38" s="5">
        <v>4.256653347484977</v>
      </c>
      <c r="F38" s="5">
        <v>5.864215256431689</v>
      </c>
      <c r="G38" s="5">
        <f t="shared" si="1"/>
        <v>3.253240791</v>
      </c>
      <c r="H38" s="5">
        <v>0.07659298474024732</v>
      </c>
      <c r="I38" s="5">
        <v>-0.6369254024791957</v>
      </c>
      <c r="J38" s="5">
        <v>-0.744213803786166</v>
      </c>
      <c r="K38" s="5">
        <v>-0.8234534534700635</v>
      </c>
      <c r="L38" s="5">
        <v>-0.07444000715611256</v>
      </c>
      <c r="M38" s="5">
        <v>-0.2920665886841253</v>
      </c>
      <c r="N38" s="5">
        <v>-0.07861178383778286</v>
      </c>
    </row>
    <row r="39" ht="15.75" customHeight="1">
      <c r="A39" s="5">
        <v>46.24500705330331</v>
      </c>
      <c r="B39" s="5">
        <v>104.865268358919</v>
      </c>
      <c r="C39" s="5">
        <v>44.30983050884061</v>
      </c>
      <c r="D39" s="5">
        <v>7.493332493547864</v>
      </c>
      <c r="E39" s="5">
        <v>4.777905261109015</v>
      </c>
      <c r="F39" s="5">
        <v>4.8950961910371</v>
      </c>
      <c r="G39" s="5">
        <f t="shared" si="1"/>
        <v>4.222359857</v>
      </c>
      <c r="H39" s="5">
        <v>0.1475456250270308</v>
      </c>
      <c r="I39" s="5">
        <v>-0.3831665394835263</v>
      </c>
      <c r="J39" s="5">
        <v>-0.6118591026766976</v>
      </c>
      <c r="K39" s="5">
        <v>-0.6249209541345595</v>
      </c>
      <c r="L39" s="5">
        <v>-0.1584447668852937</v>
      </c>
      <c r="M39" s="5">
        <v>-0.5570697131997863</v>
      </c>
      <c r="N39" s="5">
        <v>-0.06728421921975343</v>
      </c>
    </row>
    <row r="40" ht="15.75" customHeight="1">
      <c r="A40" s="5">
        <v>109.2839315552457</v>
      </c>
      <c r="B40" s="5">
        <v>121.1827452596217</v>
      </c>
      <c r="C40" s="5">
        <v>44.33929815164277</v>
      </c>
      <c r="D40" s="5">
        <v>5.045272614555067</v>
      </c>
      <c r="E40" s="5">
        <v>3.120744960667908</v>
      </c>
      <c r="F40" s="5">
        <v>15.0180824194</v>
      </c>
      <c r="G40" s="5">
        <f t="shared" si="1"/>
        <v>5.900626371</v>
      </c>
      <c r="H40" s="5">
        <v>0.006915527855954852</v>
      </c>
      <c r="I40" s="5">
        <v>-0.9457430709683337</v>
      </c>
      <c r="J40" s="5">
        <v>-0.9534609840338661</v>
      </c>
      <c r="K40" s="5">
        <v>-0.9879730097151348</v>
      </c>
      <c r="L40" s="5">
        <v>-0.2886555889064253</v>
      </c>
      <c r="M40" s="5">
        <v>-0.691358589079715</v>
      </c>
      <c r="N40" s="5">
        <v>-0.06858760831340346</v>
      </c>
    </row>
    <row r="41" ht="15.75" customHeight="1">
      <c r="A41" s="5">
        <v>100.8891719281499</v>
      </c>
      <c r="B41" s="5">
        <v>161.5479069564494</v>
      </c>
      <c r="C41" s="5">
        <v>44.25283991990025</v>
      </c>
      <c r="D41" s="5">
        <v>6.986011867443002</v>
      </c>
      <c r="E41" s="5">
        <v>3.421001040073109</v>
      </c>
      <c r="F41" s="5">
        <v>13.35633498308197</v>
      </c>
      <c r="G41" s="5">
        <f t="shared" si="1"/>
        <v>4.238878935</v>
      </c>
      <c r="H41" s="5">
        <v>0.0090391913120384</v>
      </c>
      <c r="I41" s="5">
        <v>-0.9325713171318809</v>
      </c>
      <c r="J41" s="5">
        <v>-0.9422997552269352</v>
      </c>
      <c r="K41" s="5">
        <v>-0.9834421489011826</v>
      </c>
      <c r="L41" s="5">
        <v>-0.3491640794570976</v>
      </c>
      <c r="M41" s="5">
        <v>-0.6286491492992214</v>
      </c>
      <c r="N41" s="5">
        <v>-0.06407780670281799</v>
      </c>
    </row>
    <row r="42" ht="15.75" customHeight="1">
      <c r="A42" s="5">
        <v>41.72989818931128</v>
      </c>
      <c r="B42" s="5">
        <v>107.7952579732934</v>
      </c>
      <c r="C42" s="5">
        <v>47.94029294593255</v>
      </c>
      <c r="D42" s="5">
        <v>7.256599330117752</v>
      </c>
      <c r="E42" s="5">
        <v>4.774409461656672</v>
      </c>
      <c r="F42" s="5">
        <v>4.24157145648532</v>
      </c>
      <c r="G42" s="5">
        <f t="shared" si="1"/>
        <v>4.875884591</v>
      </c>
      <c r="H42" s="5">
        <v>0.2186703573050777</v>
      </c>
      <c r="I42" s="5">
        <v>-0.165578991385117</v>
      </c>
      <c r="J42" s="5">
        <v>-0.5087906700244591</v>
      </c>
      <c r="K42" s="5">
        <v>-0.4342912422854436</v>
      </c>
      <c r="L42" s="5">
        <v>-0.05621708970353194</v>
      </c>
      <c r="M42" s="5">
        <v>-0.5270891104866375</v>
      </c>
      <c r="N42" s="5">
        <v>-0.01675209183973157</v>
      </c>
    </row>
    <row r="43" ht="15.75" customHeight="1">
      <c r="A43" s="5">
        <v>93.0146625376363</v>
      </c>
      <c r="B43" s="5">
        <v>118.6666508910274</v>
      </c>
      <c r="C43" s="5">
        <v>44.4738419484197</v>
      </c>
      <c r="D43" s="5">
        <v>7.215410425563195</v>
      </c>
      <c r="E43" s="5">
        <v>3.459002536123444</v>
      </c>
      <c r="F43" s="5">
        <v>11.62590582922488</v>
      </c>
      <c r="G43" s="5">
        <f t="shared" si="1"/>
        <v>2.508449781</v>
      </c>
      <c r="H43" s="5">
        <v>0.01189557479675513</v>
      </c>
      <c r="I43" s="5">
        <v>-0.9157586399089694</v>
      </c>
      <c r="J43" s="5">
        <v>-0.9286266115580619</v>
      </c>
      <c r="K43" s="5">
        <v>-0.9770820090491675</v>
      </c>
      <c r="L43" s="5">
        <v>-0.1488426850788497</v>
      </c>
      <c r="M43" s="5">
        <v>-0.5698260150630147</v>
      </c>
      <c r="N43" s="5">
        <v>-0.07453864140128023</v>
      </c>
    </row>
    <row r="44" ht="15.75" customHeight="1">
      <c r="A44" s="3">
        <v>74.93427181577235</v>
      </c>
      <c r="B44" s="3">
        <v>158.8108157835525</v>
      </c>
      <c r="C44" s="3">
        <v>44.25277112226622</v>
      </c>
      <c r="D44" s="3">
        <v>10.76017116952095</v>
      </c>
      <c r="E44" s="3">
        <v>3.290134402130291</v>
      </c>
      <c r="F44" s="3">
        <v>8.80449804748201</v>
      </c>
      <c r="G44" s="7">
        <f t="shared" si="1"/>
        <v>0.3129580004</v>
      </c>
      <c r="H44" s="3">
        <v>0.02582439940196671</v>
      </c>
      <c r="I44" s="3">
        <v>-0.844586508867004</v>
      </c>
      <c r="J44" s="3">
        <v>-0.8750287997996928</v>
      </c>
      <c r="K44" s="3">
        <v>-0.9455923162757452</v>
      </c>
      <c r="L44" s="3">
        <v>-0.3608669623521364</v>
      </c>
      <c r="M44" s="3">
        <v>-0.4347642356261241</v>
      </c>
      <c r="N44" s="3">
        <v>-0.0640730546531899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5">
        <v>98.32116566938403</v>
      </c>
      <c r="B45" s="5">
        <v>107.8522409930248</v>
      </c>
      <c r="C45" s="5">
        <v>46.64314601762117</v>
      </c>
      <c r="D45" s="5">
        <v>6.257352677268725</v>
      </c>
      <c r="E45" s="5">
        <v>4.929392524618209</v>
      </c>
      <c r="F45" s="5">
        <v>12.61717869019484</v>
      </c>
      <c r="G45" s="5">
        <f t="shared" si="1"/>
        <v>3.499722642</v>
      </c>
      <c r="H45" s="5">
        <v>0.009830030417869421</v>
      </c>
      <c r="I45" s="5">
        <v>-0.9277405285711514</v>
      </c>
      <c r="J45" s="5">
        <v>-0.9383674930959526</v>
      </c>
      <c r="K45" s="5">
        <v>-0.9816433204103823</v>
      </c>
      <c r="L45" s="5">
        <v>-0.1295949930244434</v>
      </c>
      <c r="M45" s="5">
        <v>-0.6094659634793171</v>
      </c>
      <c r="N45" s="5">
        <v>-0.04919919840457414</v>
      </c>
    </row>
    <row r="46" ht="15.75" customHeight="1">
      <c r="A46" s="5">
        <v>74.93427181577235</v>
      </c>
      <c r="B46" s="5">
        <v>155.9824340766625</v>
      </c>
      <c r="C46" s="5">
        <v>44.25277112226622</v>
      </c>
      <c r="D46" s="5">
        <v>10.76017116952095</v>
      </c>
      <c r="E46" s="5">
        <v>3.290134402130291</v>
      </c>
      <c r="F46" s="5">
        <v>8.80449804748201</v>
      </c>
      <c r="G46" s="5">
        <f t="shared" si="1"/>
        <v>0.3129580004</v>
      </c>
      <c r="H46" s="5">
        <v>0.02582439940196671</v>
      </c>
      <c r="I46" s="5">
        <v>-0.844586508867004</v>
      </c>
      <c r="J46" s="5">
        <v>-0.8750287997996928</v>
      </c>
      <c r="K46" s="5">
        <v>-0.9455923162757452</v>
      </c>
      <c r="L46" s="5">
        <v>-0.3608669623521364</v>
      </c>
      <c r="M46" s="5">
        <v>-0.4347642356261241</v>
      </c>
      <c r="N46" s="5">
        <v>-0.0640730546531899</v>
      </c>
    </row>
    <row r="47" ht="15.75" customHeight="1">
      <c r="A47" s="5">
        <v>81.59758641650726</v>
      </c>
      <c r="B47" s="5">
        <v>121.3050960209254</v>
      </c>
      <c r="C47" s="5">
        <v>38.84616872661906</v>
      </c>
      <c r="D47" s="5">
        <v>10.15626348301243</v>
      </c>
      <c r="E47" s="5">
        <v>4.256630730141255</v>
      </c>
      <c r="F47" s="5">
        <v>9.88992630799732</v>
      </c>
      <c r="G47" s="5">
        <f t="shared" si="1"/>
        <v>0.7724702601</v>
      </c>
      <c r="H47" s="5">
        <v>0.01898462814331741</v>
      </c>
      <c r="I47" s="5">
        <v>-0.8780494889571576</v>
      </c>
      <c r="J47" s="5">
        <v>-0.899346712400502</v>
      </c>
      <c r="K47" s="5">
        <v>-0.9613033872786827</v>
      </c>
      <c r="L47" s="5">
        <v>-0.3031385728747791</v>
      </c>
      <c r="M47" s="5">
        <v>-0.4845396603261437</v>
      </c>
      <c r="N47" s="5">
        <v>-0.1341975674058392</v>
      </c>
    </row>
    <row r="48" ht="15.75" customHeight="1">
      <c r="A48" s="5">
        <v>114.1787608138566</v>
      </c>
      <c r="B48" s="5">
        <v>116.253145051285</v>
      </c>
      <c r="C48" s="5">
        <v>46.0060122360177</v>
      </c>
      <c r="D48" s="5">
        <v>5.031320249582603</v>
      </c>
      <c r="E48" s="5">
        <v>4.42319822303164</v>
      </c>
      <c r="F48" s="5">
        <v>16.29635579920412</v>
      </c>
      <c r="G48" s="5">
        <f t="shared" si="1"/>
        <v>7.178899751</v>
      </c>
      <c r="H48" s="5">
        <v>0.006007400256946381</v>
      </c>
      <c r="I48" s="5">
        <v>-0.9516941216014912</v>
      </c>
      <c r="J48" s="5">
        <v>-0.9585661764326787</v>
      </c>
      <c r="K48" s="5">
        <v>-0.9899065205878338</v>
      </c>
      <c r="L48" s="5">
        <v>-0.6115478556080001</v>
      </c>
      <c r="M48" s="5">
        <v>-0.6946619734678751</v>
      </c>
      <c r="N48" s="5">
        <v>-0.04781690128872515</v>
      </c>
    </row>
    <row r="49" ht="15.75" customHeight="1">
      <c r="A49" s="5">
        <v>58.66883669895633</v>
      </c>
      <c r="B49" s="5">
        <v>162.2546742599038</v>
      </c>
      <c r="C49" s="5">
        <v>44.25246792653966</v>
      </c>
      <c r="D49" s="5">
        <v>10.64169456090715</v>
      </c>
      <c r="E49" s="5">
        <v>3.425132085264069</v>
      </c>
      <c r="F49" s="5">
        <v>6.238492333301747</v>
      </c>
      <c r="G49" s="5">
        <f t="shared" si="1"/>
        <v>2.878963715</v>
      </c>
      <c r="H49" s="5">
        <v>0.0635463438055678</v>
      </c>
      <c r="I49" s="5">
        <v>-0.6857459504635686</v>
      </c>
      <c r="J49" s="5">
        <v>-0.772749407453552</v>
      </c>
      <c r="K49" s="5">
        <v>-0.8552054236147134</v>
      </c>
      <c r="L49" s="5">
        <v>-0.1127365590624898</v>
      </c>
      <c r="M49" s="5">
        <v>-0.3132603011156878</v>
      </c>
      <c r="N49" s="5">
        <v>-0.06405211205596328</v>
      </c>
    </row>
    <row r="50" ht="15.75" customHeight="1">
      <c r="A50" s="5">
        <v>51.1371960098558</v>
      </c>
      <c r="B50" s="5">
        <v>148.8303830307848</v>
      </c>
      <c r="C50" s="5">
        <v>46.0763505271347</v>
      </c>
      <c r="D50" s="5">
        <v>10.60957322396495</v>
      </c>
      <c r="E50" s="5">
        <v>4.256653347484977</v>
      </c>
      <c r="F50" s="5">
        <v>5.276630102062124</v>
      </c>
      <c r="G50" s="5">
        <f t="shared" si="1"/>
        <v>3.840825946</v>
      </c>
      <c r="H50" s="5">
        <v>0.106883051827867</v>
      </c>
      <c r="I50" s="5">
        <v>-0.5306163199612495</v>
      </c>
      <c r="J50" s="5">
        <v>-0.685324304677552</v>
      </c>
      <c r="K50" s="5">
        <v>-0.7491381853859485</v>
      </c>
      <c r="L50" s="5">
        <v>-0.03765416249316573</v>
      </c>
      <c r="M50" s="5">
        <v>-0.2569984199872508</v>
      </c>
      <c r="N50" s="5">
        <v>-0.04685375822612925</v>
      </c>
    </row>
    <row r="51" ht="15.75" customHeight="1">
      <c r="A51" s="5">
        <v>109.2115555077561</v>
      </c>
      <c r="B51" s="5">
        <v>121.1827452596217</v>
      </c>
      <c r="C51" s="5">
        <v>44.34059605725156</v>
      </c>
      <c r="D51" s="5">
        <v>5.045183155502731</v>
      </c>
      <c r="E51" s="5">
        <v>3.862753359745778</v>
      </c>
      <c r="F51" s="5">
        <v>14.99960103106396</v>
      </c>
      <c r="G51" s="5">
        <f t="shared" si="1"/>
        <v>5.882144983</v>
      </c>
      <c r="H51" s="5">
        <v>0.006930366992754212</v>
      </c>
      <c r="I51" s="5">
        <v>-0.9456472026328913</v>
      </c>
      <c r="J51" s="5">
        <v>-0.9533793294970231</v>
      </c>
      <c r="K51" s="5">
        <v>-0.987941096179846</v>
      </c>
      <c r="L51" s="5">
        <v>-0.2840578495552243</v>
      </c>
      <c r="M51" s="5">
        <v>-0.69081793495819</v>
      </c>
      <c r="N51" s="5">
        <v>-0.06864501623118074</v>
      </c>
    </row>
    <row r="52" ht="15.75" customHeight="1">
      <c r="F52" s="5">
        <f>AVERAGE(F2:F51)</f>
        <v>9.117456048</v>
      </c>
    </row>
    <row r="53" ht="15.75" customHeight="1">
      <c r="F53" s="5">
        <f>SMALL(F2:F51,1)</f>
        <v>3.991296236</v>
      </c>
    </row>
    <row r="54" ht="15.75" customHeight="1">
      <c r="F54" s="5">
        <f>LARGE(F2:F51,1)</f>
        <v>19.77893032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2026-08-28T23:34:30Z</dcterms:created>
  <dc:creator>openpyxl</dc:creator>
</cp:coreProperties>
</file>