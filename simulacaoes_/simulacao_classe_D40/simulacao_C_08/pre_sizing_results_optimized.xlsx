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4"/>
  </sheets>
  <definedNames/>
  <calcPr/>
  <extLst>
    <ext uri="GoogleSheetsCustomDataVersion2">
      <go:sheetsCustomData xmlns:go="http://customooxmlschemas.google.com/" r:id="rId5" roundtripDataChecksum="Toc6H2JuaOrcbjNOPifrNH71autzPLeUkaLqMhcmgZI="/>
    </ext>
  </extLst>
</workbook>
</file>

<file path=xl/sharedStrings.xml><?xml version="1.0" encoding="utf-8"?>
<sst xmlns="http://schemas.openxmlformats.org/spreadsheetml/2006/main" count="13" uniqueCount="13">
  <si>
    <t>d_cm</t>
  </si>
  <si>
    <t>esp_cm</t>
  </si>
  <si>
    <t>bw_cm</t>
  </si>
  <si>
    <t>h_cm</t>
  </si>
  <si>
    <t>esp_tab_cm</t>
  </si>
  <si>
    <t>of_volume_m3</t>
  </si>
  <si>
    <t>of_fator_flecha</t>
  </si>
  <si>
    <t>longarina_g_m</t>
  </si>
  <si>
    <t>longarina_g_v</t>
  </si>
  <si>
    <t>longarina_g_f</t>
  </si>
  <si>
    <t>tabuleiro_g_m</t>
  </si>
  <si>
    <t>longarina_g_esp</t>
  </si>
  <si>
    <t>tabuleiro_g_esp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</si>
</sst>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0" fontId="2" numFmtId="0" xfId="0" applyFont="1"/>
    <xf borderId="0" fillId="3" fontId="2" numFmtId="0" xfId="0" applyFill="1" applyFont="1"/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2.29"/>
    <col customWidth="1" min="6" max="6" width="14.29"/>
    <col customWidth="1" min="7" max="8" width="15.43"/>
    <col customWidth="1" min="9" max="9" width="15.0"/>
    <col customWidth="1" min="10" max="11" width="14.0"/>
    <col customWidth="1" min="12" max="12" width="16.14"/>
    <col customWidth="1" min="13" max="13" width="15.43"/>
    <col customWidth="1" min="14" max="14" width="17.14"/>
    <col customWidth="1" min="15" max="15" width="8.71"/>
    <col customWidth="1" min="16" max="16" width="15.0"/>
    <col customWidth="1" min="17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>
      <c r="A2" s="2">
        <v>149.9999934325167</v>
      </c>
      <c r="B2" s="2">
        <v>140.6318194926814</v>
      </c>
      <c r="C2" s="2">
        <v>40.78622829534429</v>
      </c>
      <c r="D2" s="2">
        <v>11.21027707156006</v>
      </c>
      <c r="E2" s="2">
        <v>3.629939078891476</v>
      </c>
      <c r="F2" s="2">
        <v>15.88327249675071</v>
      </c>
      <c r="G2" s="2">
        <f t="shared" ref="G2:G51" si="1">ABS(F2-$F$52)</f>
        <v>8.858576633</v>
      </c>
      <c r="H2" s="2">
        <v>0.001290251421157053</v>
      </c>
      <c r="I2" s="2">
        <v>-0.9852848467224578</v>
      </c>
      <c r="J2" s="2">
        <v>-0.9979012491684621</v>
      </c>
      <c r="K2" s="2">
        <v>-0.9986377583545795</v>
      </c>
      <c r="L2" s="2">
        <v>-0.002463013060447781</v>
      </c>
      <c r="M2" s="2">
        <v>-0.2440138805753276</v>
      </c>
      <c r="N2" s="2">
        <v>-0.07542355765920972</v>
      </c>
    </row>
    <row r="3">
      <c r="A3" s="2">
        <v>149.9999934325167</v>
      </c>
      <c r="B3" s="2">
        <v>139.9961589845136</v>
      </c>
      <c r="C3" s="2">
        <v>40.78622829534429</v>
      </c>
      <c r="D3" s="2">
        <v>11.21027707156006</v>
      </c>
      <c r="E3" s="2">
        <v>3.675864693432013</v>
      </c>
      <c r="F3" s="2">
        <v>15.88327249675071</v>
      </c>
      <c r="G3" s="2">
        <f t="shared" si="1"/>
        <v>8.858576633</v>
      </c>
      <c r="H3" s="2">
        <v>0.001290251421157053</v>
      </c>
      <c r="I3" s="2">
        <v>-0.9852848467224578</v>
      </c>
      <c r="J3" s="2">
        <v>-0.9979012491684621</v>
      </c>
      <c r="K3" s="2">
        <v>-0.9986377583545795</v>
      </c>
      <c r="L3" s="2">
        <v>-0.002463013060447781</v>
      </c>
      <c r="M3" s="2">
        <v>-0.2440138805753276</v>
      </c>
      <c r="N3" s="2">
        <v>-0.07542355765920972</v>
      </c>
      <c r="P3" s="3">
        <f>LARGE(I2:L5,1)</f>
        <v>-0.00246301306</v>
      </c>
    </row>
    <row r="4">
      <c r="A4" s="4">
        <v>33.15799637460707</v>
      </c>
      <c r="B4" s="4">
        <v>173.9744256076649</v>
      </c>
      <c r="C4" s="4">
        <v>46.11143876864521</v>
      </c>
      <c r="D4" s="4">
        <v>11.8704899906021</v>
      </c>
      <c r="E4" s="4">
        <v>3.129056859568939</v>
      </c>
      <c r="F4" s="4">
        <v>2.997091288242606</v>
      </c>
      <c r="G4" s="4">
        <f t="shared" si="1"/>
        <v>4.027604576</v>
      </c>
      <c r="H4" s="4">
        <v>0.2450558643821369</v>
      </c>
      <c r="I4" s="4">
        <v>-0.02303740938912478</v>
      </c>
      <c r="J4" s="4">
        <v>-0.3506399987899129</v>
      </c>
      <c r="K4" s="4">
        <v>-0.4294864096358344</v>
      </c>
      <c r="L4" s="4">
        <v>-0.03115819097763493</v>
      </c>
      <c r="M4" s="4">
        <v>-0.1226925450234244</v>
      </c>
      <c r="N4" s="4">
        <v>-0.01605635758304634</v>
      </c>
    </row>
    <row r="5">
      <c r="A5" s="4">
        <v>33.15799637460707</v>
      </c>
      <c r="B5" s="4">
        <v>183.3214998815216</v>
      </c>
      <c r="C5" s="4">
        <v>46.11143876864521</v>
      </c>
      <c r="D5" s="4">
        <v>11.8704899906021</v>
      </c>
      <c r="E5" s="4">
        <v>3.129056859568939</v>
      </c>
      <c r="F5" s="4">
        <v>2.997091288242606</v>
      </c>
      <c r="G5" s="4">
        <f t="shared" si="1"/>
        <v>4.027604576</v>
      </c>
      <c r="H5" s="4">
        <v>0.2450558643821369</v>
      </c>
      <c r="I5" s="4">
        <v>-0.02303740938912478</v>
      </c>
      <c r="J5" s="4">
        <v>-0.3506399987899129</v>
      </c>
      <c r="K5" s="4">
        <v>-0.4294864096358344</v>
      </c>
      <c r="L5" s="4">
        <v>-0.03115819097763493</v>
      </c>
      <c r="M5" s="4">
        <v>-0.1226925450234244</v>
      </c>
      <c r="N5" s="4">
        <v>-0.01605635758304634</v>
      </c>
    </row>
    <row r="6">
      <c r="A6" s="3">
        <v>85.81914553292168</v>
      </c>
      <c r="B6" s="3">
        <v>199.0074192109957</v>
      </c>
      <c r="C6" s="3">
        <v>40.89120197357592</v>
      </c>
      <c r="D6" s="3">
        <v>7.835509686249226</v>
      </c>
      <c r="E6" s="3">
        <v>3.287060701874739</v>
      </c>
      <c r="F6" s="3">
        <v>8.186637069486055</v>
      </c>
      <c r="G6" s="3">
        <f t="shared" si="1"/>
        <v>1.161941205</v>
      </c>
      <c r="H6" s="3">
        <v>0.006895092314246536</v>
      </c>
      <c r="I6" s="3">
        <v>-0.938805084364994</v>
      </c>
      <c r="J6" s="3">
        <v>-0.9534379882865596</v>
      </c>
      <c r="K6" s="3">
        <v>-0.98728599526747</v>
      </c>
      <c r="L6" s="3">
        <v>-0.009364590294657277</v>
      </c>
      <c r="M6" s="3">
        <v>-0.5160750012948248</v>
      </c>
      <c r="N6" s="3">
        <v>-0.07896355819391025</v>
      </c>
    </row>
    <row r="7">
      <c r="A7" s="3">
        <v>41.80109064692905</v>
      </c>
      <c r="B7" s="3">
        <v>149.6546279735735</v>
      </c>
      <c r="C7" s="3">
        <v>40.76789193047846</v>
      </c>
      <c r="D7" s="3">
        <v>11.9905195537562</v>
      </c>
      <c r="E7" s="3">
        <v>3.366967712607952</v>
      </c>
      <c r="F7" s="3">
        <v>3.612450695762464</v>
      </c>
      <c r="G7" s="3">
        <f t="shared" si="1"/>
        <v>3.412245168</v>
      </c>
      <c r="H7" s="3">
        <v>0.0995638920786832</v>
      </c>
      <c r="I7" s="3">
        <v>-0.5081978700987742</v>
      </c>
      <c r="J7" s="3">
        <v>-0.6290004372409425</v>
      </c>
      <c r="K7" s="3">
        <v>-0.7741247427312091</v>
      </c>
      <c r="L7" s="3">
        <v>-0.03360241069833731</v>
      </c>
      <c r="M7" s="3">
        <v>-0.1872570619201178</v>
      </c>
      <c r="N7" s="3">
        <v>-0.07480520511100028</v>
      </c>
    </row>
    <row r="8">
      <c r="A8" s="3">
        <v>37.49441256548187</v>
      </c>
      <c r="B8" s="3">
        <v>139.9018797088097</v>
      </c>
      <c r="C8" s="3">
        <v>45.93019441035783</v>
      </c>
      <c r="D8" s="3">
        <v>11.8704899906021</v>
      </c>
      <c r="E8" s="3">
        <v>3.128921076384215</v>
      </c>
      <c r="F8" s="3">
        <v>3.304783178039722</v>
      </c>
      <c r="G8" s="3">
        <f t="shared" si="1"/>
        <v>3.719912686</v>
      </c>
      <c r="H8" s="3">
        <v>0.1509358637482015</v>
      </c>
      <c r="I8" s="3">
        <v>-0.3227521408083825</v>
      </c>
      <c r="J8" s="3">
        <v>-0.5165624239396724</v>
      </c>
      <c r="K8" s="3">
        <v>-0.6510582794943715</v>
      </c>
      <c r="L8" s="3">
        <v>-0.1121224548061309</v>
      </c>
      <c r="M8" s="3">
        <v>-0.1780269726615109</v>
      </c>
      <c r="N8" s="3">
        <v>-8.987404057583785E-4</v>
      </c>
    </row>
    <row r="9">
      <c r="A9" s="3">
        <v>34.46258481235041</v>
      </c>
      <c r="B9" s="3">
        <v>172.4429572547031</v>
      </c>
      <c r="C9" s="3">
        <v>46.45207214020289</v>
      </c>
      <c r="D9" s="3">
        <v>11.88063873374779</v>
      </c>
      <c r="E9" s="3">
        <v>3.125414441003332</v>
      </c>
      <c r="F9" s="3">
        <v>3.095860683259319</v>
      </c>
      <c r="G9" s="3">
        <f t="shared" si="1"/>
        <v>3.928835181</v>
      </c>
      <c r="H9" s="3">
        <v>0.2109433369505006</v>
      </c>
      <c r="I9" s="3">
        <v>-0.1285653925556269</v>
      </c>
      <c r="J9" s="3">
        <v>-0.4071509553722079</v>
      </c>
      <c r="K9" s="3">
        <v>-0.5110913494248925</v>
      </c>
      <c r="L9" s="3">
        <v>-0.05418957769600764</v>
      </c>
      <c r="M9" s="3">
        <v>-0.1324379116222412</v>
      </c>
      <c r="N9" s="3">
        <v>-0.02945154261081525</v>
      </c>
    </row>
    <row r="10">
      <c r="A10" s="3">
        <v>39.22515103975986</v>
      </c>
      <c r="B10" s="3">
        <v>139.9869011980054</v>
      </c>
      <c r="C10" s="3">
        <v>45.95407813389042</v>
      </c>
      <c r="D10" s="3">
        <v>11.32136082486784</v>
      </c>
      <c r="E10" s="3">
        <v>3.622780922903221</v>
      </c>
      <c r="F10" s="3">
        <v>3.310483039832476</v>
      </c>
      <c r="G10" s="3">
        <f t="shared" si="1"/>
        <v>3.714212824</v>
      </c>
      <c r="H10" s="3">
        <v>0.1264246345609297</v>
      </c>
      <c r="I10" s="3">
        <v>-0.4078657108842564</v>
      </c>
      <c r="J10" s="3">
        <v>-0.5671032831542853</v>
      </c>
      <c r="K10" s="3">
        <v>-0.7086864973558448</v>
      </c>
      <c r="L10" s="3">
        <v>-0.006190418400763332</v>
      </c>
      <c r="M10" s="3">
        <v>-0.1680146134344488</v>
      </c>
      <c r="N10" s="3">
        <v>-0.003944270388378268</v>
      </c>
    </row>
    <row r="11">
      <c r="A11" s="3">
        <v>35.1385624789486</v>
      </c>
      <c r="B11" s="3">
        <v>139.9543197357424</v>
      </c>
      <c r="C11" s="3">
        <v>40.74776724520513</v>
      </c>
      <c r="D11" s="3">
        <v>11.19355237709947</v>
      </c>
      <c r="E11" s="3">
        <v>3.838836147926082</v>
      </c>
      <c r="F11" s="3">
        <v>3.128180098785997</v>
      </c>
      <c r="G11" s="3">
        <f t="shared" si="1"/>
        <v>3.896515765</v>
      </c>
      <c r="H11" s="3">
        <v>0.1897092535434671</v>
      </c>
      <c r="I11" s="3">
        <v>-0.1854282172948517</v>
      </c>
      <c r="J11" s="3">
        <v>-0.4391392457069229</v>
      </c>
      <c r="K11" s="3">
        <v>-0.5476410876161514</v>
      </c>
      <c r="L11" s="3">
        <v>-0.01815849839831456</v>
      </c>
      <c r="M11" s="3">
        <v>-0.2527913349843446</v>
      </c>
      <c r="N11" s="3">
        <v>-0.07412654549052747</v>
      </c>
    </row>
    <row r="12">
      <c r="A12" s="3">
        <v>48.92066272416371</v>
      </c>
      <c r="B12" s="3">
        <v>150.9961915536149</v>
      </c>
      <c r="C12" s="3">
        <v>40.76801858603773</v>
      </c>
      <c r="D12" s="3">
        <v>11.54717922146069</v>
      </c>
      <c r="E12" s="3">
        <v>3.22920735361046</v>
      </c>
      <c r="F12" s="3">
        <v>4.143611221865039</v>
      </c>
      <c r="G12" s="3">
        <f t="shared" si="1"/>
        <v>2.881084642</v>
      </c>
      <c r="H12" s="3">
        <v>0.05425903223368048</v>
      </c>
      <c r="I12" s="3">
        <v>-0.6909024268566643</v>
      </c>
      <c r="J12" s="3">
        <v>-0.7514730681621794</v>
      </c>
      <c r="K12" s="3">
        <v>-0.8795935405351102</v>
      </c>
      <c r="L12" s="3">
        <v>-0.05276845085166849</v>
      </c>
      <c r="M12" s="3">
        <v>-0.2404407617843971</v>
      </c>
      <c r="N12" s="3">
        <v>-0.0748094762840699</v>
      </c>
    </row>
    <row r="13">
      <c r="A13" s="3">
        <v>36.21714034144489</v>
      </c>
      <c r="B13" s="3">
        <v>139.3105157252196</v>
      </c>
      <c r="C13" s="3">
        <v>46.10713355827192</v>
      </c>
      <c r="D13" s="3">
        <v>11.24941437158595</v>
      </c>
      <c r="E13" s="3">
        <v>3.664029840132302</v>
      </c>
      <c r="F13" s="3">
        <v>3.201188489658381</v>
      </c>
      <c r="G13" s="3">
        <f t="shared" si="1"/>
        <v>3.823507374</v>
      </c>
      <c r="H13" s="3">
        <v>0.169579119256543</v>
      </c>
      <c r="I13" s="3">
        <v>-0.2539582499871668</v>
      </c>
      <c r="J13" s="3">
        <v>-0.4774432157820367</v>
      </c>
      <c r="K13" s="3">
        <v>-0.599167904433058</v>
      </c>
      <c r="L13" s="3">
        <v>-0.1171494674729117</v>
      </c>
      <c r="M13" s="3">
        <v>-0.23754188586613</v>
      </c>
      <c r="N13" s="3">
        <v>-0.01579076792936903</v>
      </c>
    </row>
    <row r="14">
      <c r="A14" s="3">
        <v>33.54286352642038</v>
      </c>
      <c r="B14" s="3">
        <v>139.9543197357424</v>
      </c>
      <c r="C14" s="3">
        <v>40.78542134796655</v>
      </c>
      <c r="D14" s="3">
        <v>11.19374241710438</v>
      </c>
      <c r="E14" s="3">
        <v>2.458046830837531</v>
      </c>
      <c r="F14" s="3">
        <v>3.039635897889481</v>
      </c>
      <c r="G14" s="3">
        <f t="shared" si="1"/>
        <v>3.985059966</v>
      </c>
      <c r="H14" s="3">
        <v>0.226550424992896</v>
      </c>
      <c r="I14" s="3">
        <v>-0.06609574488956103</v>
      </c>
      <c r="J14" s="3">
        <v>-0.3743529397478581</v>
      </c>
      <c r="K14" s="3">
        <v>-0.4552232400646948</v>
      </c>
      <c r="L14" s="3">
        <v>-0.03976599620454561</v>
      </c>
      <c r="M14" s="3">
        <v>-0.2644474610897166</v>
      </c>
      <c r="N14" s="3">
        <v>-0.07539634517893108</v>
      </c>
    </row>
    <row r="15">
      <c r="A15" s="3">
        <v>78.81464281887325</v>
      </c>
      <c r="B15" s="3">
        <v>192.1470192086328</v>
      </c>
      <c r="C15" s="3">
        <v>40.7888074213482</v>
      </c>
      <c r="D15" s="3">
        <v>9.083923835823336</v>
      </c>
      <c r="E15" s="3">
        <v>3.814568687045452</v>
      </c>
      <c r="F15" s="3">
        <v>7.310541428260771</v>
      </c>
      <c r="G15" s="3">
        <f t="shared" si="1"/>
        <v>0.2858455641</v>
      </c>
      <c r="H15" s="3">
        <v>0.009302481185309667</v>
      </c>
      <c r="I15" s="3">
        <v>-0.9222076262367581</v>
      </c>
      <c r="J15" s="3">
        <v>-0.9375569902499232</v>
      </c>
      <c r="K15" s="3">
        <v>-0.982127246469161</v>
      </c>
      <c r="L15" s="3">
        <v>-0.1111780654286456</v>
      </c>
      <c r="M15" s="3">
        <v>-0.4637508775973265</v>
      </c>
      <c r="N15" s="3">
        <v>-0.07551053286658291</v>
      </c>
    </row>
    <row r="16">
      <c r="A16" s="3">
        <v>143.1389014477313</v>
      </c>
      <c r="B16" s="3">
        <v>173.6251505811894</v>
      </c>
      <c r="C16" s="3">
        <v>40.75478203549696</v>
      </c>
      <c r="D16" s="3">
        <v>12.12982652173384</v>
      </c>
      <c r="E16" s="3">
        <v>2.487434586559035</v>
      </c>
      <c r="F16" s="3">
        <v>14.77903424216752</v>
      </c>
      <c r="G16" s="3">
        <f t="shared" si="1"/>
        <v>7.754338378</v>
      </c>
      <c r="H16" s="3">
        <v>0.001489731245982246</v>
      </c>
      <c r="I16" s="3">
        <v>-0.983439206840648</v>
      </c>
      <c r="J16" s="3">
        <v>-0.9961394511856718</v>
      </c>
      <c r="K16" s="3">
        <v>-0.9983571860045272</v>
      </c>
      <c r="L16" s="3">
        <v>-0.03673635878913614</v>
      </c>
      <c r="M16" s="3">
        <v>-0.1756767665088183</v>
      </c>
      <c r="N16" s="3">
        <v>-0.07436310347155889</v>
      </c>
    </row>
    <row r="17">
      <c r="A17" s="3">
        <v>44.268171388997</v>
      </c>
      <c r="B17" s="3">
        <v>181.4570710122542</v>
      </c>
      <c r="C17" s="3">
        <v>46.00012884120595</v>
      </c>
      <c r="D17" s="3">
        <v>11.29020312658326</v>
      </c>
      <c r="E17" s="3">
        <v>3.101779247107499</v>
      </c>
      <c r="F17" s="3">
        <v>3.701129649811118</v>
      </c>
      <c r="G17" s="3">
        <f t="shared" si="1"/>
        <v>3.323566214</v>
      </c>
      <c r="H17" s="3">
        <v>0.07928306460647044</v>
      </c>
      <c r="I17" s="3">
        <v>-0.5857028481030188</v>
      </c>
      <c r="J17" s="3">
        <v>-0.6793635143974649</v>
      </c>
      <c r="K17" s="3">
        <v>-0.8204221438808156</v>
      </c>
      <c r="L17" s="3">
        <v>-0.06387648435098284</v>
      </c>
      <c r="M17" s="3">
        <v>-0.2056863270927584</v>
      </c>
      <c r="N17" s="3">
        <v>-0.00911966917303855</v>
      </c>
    </row>
    <row r="18">
      <c r="A18" s="3">
        <v>40.84737799131731</v>
      </c>
      <c r="B18" s="3">
        <v>139.9608952502495</v>
      </c>
      <c r="C18" s="3">
        <v>46.00012884120595</v>
      </c>
      <c r="D18" s="3">
        <v>11.32136082486784</v>
      </c>
      <c r="E18" s="3">
        <v>3.101779247107499</v>
      </c>
      <c r="F18" s="3">
        <v>3.433883492341876</v>
      </c>
      <c r="G18" s="3">
        <f t="shared" si="1"/>
        <v>3.590812372</v>
      </c>
      <c r="H18" s="3">
        <v>0.1080919286198737</v>
      </c>
      <c r="I18" s="3">
        <v>-0.4747078172241884</v>
      </c>
      <c r="J18" s="3">
        <v>-0.608102812394718</v>
      </c>
      <c r="K18" s="3">
        <v>-0.752279255657232</v>
      </c>
      <c r="L18" s="3">
        <v>-0.02706457865102591</v>
      </c>
      <c r="M18" s="3">
        <v>-0.1801327618803715</v>
      </c>
      <c r="N18" s="3">
        <v>-0.00911966917303855</v>
      </c>
    </row>
    <row r="19">
      <c r="A19" s="3">
        <v>34.85285473688302</v>
      </c>
      <c r="B19" s="3">
        <v>153.9195402810955</v>
      </c>
      <c r="C19" s="3">
        <v>46.45207214020289</v>
      </c>
      <c r="D19" s="3">
        <v>11.88063873374779</v>
      </c>
      <c r="E19" s="3">
        <v>3.125414441003332</v>
      </c>
      <c r="F19" s="3">
        <v>3.121169237118484</v>
      </c>
      <c r="G19" s="3">
        <f t="shared" si="1"/>
        <v>3.903526627</v>
      </c>
      <c r="H19" s="3">
        <v>0.201858215229714</v>
      </c>
      <c r="I19" s="3">
        <v>-0.1572306860885696</v>
      </c>
      <c r="J19" s="3">
        <v>-0.4228287962346907</v>
      </c>
      <c r="K19" s="3">
        <v>-0.5326247737048454</v>
      </c>
      <c r="L19" s="3">
        <v>-0.05849905716218414</v>
      </c>
      <c r="M19" s="3">
        <v>-0.1353532551719984</v>
      </c>
      <c r="N19" s="3">
        <v>-0.02945154261081525</v>
      </c>
    </row>
    <row r="20">
      <c r="A20" s="3">
        <v>67.58622155364714</v>
      </c>
      <c r="B20" s="3">
        <v>163.1079346278375</v>
      </c>
      <c r="C20" s="3">
        <v>40.74984414725035</v>
      </c>
      <c r="D20" s="3">
        <v>10.64147233197207</v>
      </c>
      <c r="E20" s="3">
        <v>3.382575278641927</v>
      </c>
      <c r="F20" s="3">
        <v>6.027974589181547</v>
      </c>
      <c r="G20" s="3">
        <f t="shared" si="1"/>
        <v>0.996721275</v>
      </c>
      <c r="H20" s="3">
        <v>0.01621412337837023</v>
      </c>
      <c r="I20" s="3">
        <v>-0.8792680255559774</v>
      </c>
      <c r="J20" s="3">
        <v>-0.898614358839991</v>
      </c>
      <c r="K20" s="3">
        <v>-0.9669488600832988</v>
      </c>
      <c r="L20" s="3">
        <v>-0.1761588019446725</v>
      </c>
      <c r="M20" s="3">
        <v>-0.3798737877889422</v>
      </c>
      <c r="N20" s="3">
        <v>-0.07419658432763869</v>
      </c>
    </row>
    <row r="21" ht="15.75" customHeight="1">
      <c r="A21" s="3">
        <v>36.01996958894327</v>
      </c>
      <c r="B21" s="3">
        <v>156.1924818275436</v>
      </c>
      <c r="C21" s="3">
        <v>46.0215497817417</v>
      </c>
      <c r="D21" s="3">
        <v>11.57308187745725</v>
      </c>
      <c r="E21" s="3">
        <v>4.714047227869282</v>
      </c>
      <c r="F21" s="3">
        <v>3.129258407445968</v>
      </c>
      <c r="G21" s="3">
        <f t="shared" si="1"/>
        <v>3.895437457</v>
      </c>
      <c r="H21" s="3">
        <v>0.1766344031612501</v>
      </c>
      <c r="I21" s="3">
        <v>-0.2369581106598291</v>
      </c>
      <c r="J21" s="3">
        <v>-0.4673456915860695</v>
      </c>
      <c r="K21" s="3">
        <v>-0.5903190725761542</v>
      </c>
      <c r="L21" s="3">
        <v>-0.01255999419378925</v>
      </c>
      <c r="M21" s="3">
        <v>-0.1440716844997375</v>
      </c>
      <c r="N21" s="3">
        <v>-0.01051108038842365</v>
      </c>
    </row>
    <row r="22" ht="15.75" customHeight="1">
      <c r="A22" s="3">
        <v>72.8198426515423</v>
      </c>
      <c r="B22" s="3">
        <v>185.0626223803447</v>
      </c>
      <c r="C22" s="3">
        <v>40.72748959962551</v>
      </c>
      <c r="D22" s="3">
        <v>9.34218486798361</v>
      </c>
      <c r="E22" s="3">
        <v>2.762493159120838</v>
      </c>
      <c r="F22" s="3">
        <v>6.500400708702915</v>
      </c>
      <c r="G22" s="3">
        <f t="shared" si="1"/>
        <v>0.5242951555</v>
      </c>
      <c r="H22" s="3">
        <v>0.01230120421656494</v>
      </c>
      <c r="I22" s="3">
        <v>-0.9027001387358601</v>
      </c>
      <c r="J22" s="3">
        <v>-0.9195734731566836</v>
      </c>
      <c r="K22" s="3">
        <v>-0.9754743702021372</v>
      </c>
      <c r="L22" s="3">
        <v>-0.03704088165812063</v>
      </c>
      <c r="M22" s="3">
        <v>-0.4189693023303061</v>
      </c>
      <c r="N22" s="3">
        <v>-0.07323276608469124</v>
      </c>
    </row>
    <row r="23" ht="15.75" customHeight="1">
      <c r="A23" s="3">
        <v>147.8622610780734</v>
      </c>
      <c r="B23" s="3">
        <v>139.3100938520205</v>
      </c>
      <c r="C23" s="3">
        <v>45.95407813389042</v>
      </c>
      <c r="D23" s="3">
        <v>11.32136082486784</v>
      </c>
      <c r="E23" s="3">
        <v>2.613701161857943</v>
      </c>
      <c r="F23" s="3">
        <v>15.50728982400771</v>
      </c>
      <c r="G23" s="3">
        <f t="shared" si="1"/>
        <v>8.48259396</v>
      </c>
      <c r="H23" s="3">
        <v>0.001346870061166208</v>
      </c>
      <c r="I23" s="3">
        <v>-0.984751599052535</v>
      </c>
      <c r="J23" s="3">
        <v>-0.9974109834196536</v>
      </c>
      <c r="K23" s="3">
        <v>-0.9985572544580176</v>
      </c>
      <c r="L23" s="3">
        <v>-0.09617730484765939</v>
      </c>
      <c r="M23" s="3">
        <v>-0.2227218675731401</v>
      </c>
      <c r="N23" s="3">
        <v>-0.003944270388378268</v>
      </c>
    </row>
    <row r="24" ht="15.75" customHeight="1">
      <c r="A24" s="3">
        <v>39.33858744443398</v>
      </c>
      <c r="B24" s="3">
        <v>139.9608952502495</v>
      </c>
      <c r="C24" s="3">
        <v>45.95407813389042</v>
      </c>
      <c r="D24" s="3">
        <v>11.32136082486784</v>
      </c>
      <c r="E24" s="3">
        <v>2.536535311574418</v>
      </c>
      <c r="F24" s="3">
        <v>3.318820751236905</v>
      </c>
      <c r="G24" s="3">
        <f t="shared" si="1"/>
        <v>3.705875113</v>
      </c>
      <c r="H24" s="3">
        <v>0.1250179944589064</v>
      </c>
      <c r="I24" s="3">
        <v>-0.4129032299349733</v>
      </c>
      <c r="J24" s="3">
        <v>-0.5701494278033298</v>
      </c>
      <c r="K24" s="3">
        <v>-0.7120321076866636</v>
      </c>
      <c r="L24" s="3">
        <v>-0.00758301899938228</v>
      </c>
      <c r="M24" s="3">
        <v>-0.1688619912872782</v>
      </c>
      <c r="N24" s="3">
        <v>-0.003944270388378268</v>
      </c>
    </row>
    <row r="25" ht="15.75" customHeight="1">
      <c r="A25" s="3">
        <v>45.72330758976207</v>
      </c>
      <c r="B25" s="3">
        <v>156.1924818275436</v>
      </c>
      <c r="C25" s="3">
        <v>40.76750344291954</v>
      </c>
      <c r="D25" s="3">
        <v>11.57308187745725</v>
      </c>
      <c r="E25" s="3">
        <v>4.714047227869282</v>
      </c>
      <c r="F25" s="3">
        <v>3.864748921772672</v>
      </c>
      <c r="G25" s="3">
        <f t="shared" si="1"/>
        <v>3.159946942</v>
      </c>
      <c r="H25" s="3">
        <v>0.07022616985253917</v>
      </c>
      <c r="I25" s="3">
        <v>-0.6229974009500793</v>
      </c>
      <c r="J25" s="3">
        <v>-0.7043030229284182</v>
      </c>
      <c r="K25" s="3">
        <v>-0.8422139676477295</v>
      </c>
      <c r="L25" s="3">
        <v>-0.01471649824295706</v>
      </c>
      <c r="M25" s="3">
        <v>-0.216556295979034</v>
      </c>
      <c r="N25" s="3">
        <v>-0.07479210424429263</v>
      </c>
    </row>
    <row r="26" ht="15.75" customHeight="1">
      <c r="A26" s="3">
        <v>37.32206990729601</v>
      </c>
      <c r="B26" s="3">
        <v>174.0372732794491</v>
      </c>
      <c r="C26" s="3">
        <v>46.00187074355777</v>
      </c>
      <c r="D26" s="3">
        <v>11.56505893037736</v>
      </c>
      <c r="E26" s="3">
        <v>3.129257064581382</v>
      </c>
      <c r="F26" s="3">
        <v>3.216456961134639</v>
      </c>
      <c r="G26" s="3">
        <f t="shared" si="1"/>
        <v>3.808238903</v>
      </c>
      <c r="H26" s="3">
        <v>0.1537982768837588</v>
      </c>
      <c r="I26" s="3">
        <v>-0.3132544142567367</v>
      </c>
      <c r="J26" s="3">
        <v>-0.5110221095552215</v>
      </c>
      <c r="K26" s="3">
        <v>-0.6445682456218453</v>
      </c>
      <c r="L26" s="3">
        <v>-0.02608881932383715</v>
      </c>
      <c r="M26" s="3">
        <v>-0.15379846467321</v>
      </c>
      <c r="N26" s="3">
        <v>-0.009275090269079385</v>
      </c>
    </row>
    <row r="27" ht="15.75" customHeight="1">
      <c r="A27" s="3">
        <v>89.59905487328538</v>
      </c>
      <c r="B27" s="3">
        <v>184.9672194416024</v>
      </c>
      <c r="C27" s="3">
        <v>42.68408454389969</v>
      </c>
      <c r="D27" s="3">
        <v>7.58491303940451</v>
      </c>
      <c r="E27" s="3">
        <v>3.980769028051621</v>
      </c>
      <c r="F27" s="3">
        <v>8.785563085135545</v>
      </c>
      <c r="G27" s="3">
        <f t="shared" si="1"/>
        <v>1.760867221</v>
      </c>
      <c r="H27" s="3">
        <v>0.005958578860389393</v>
      </c>
      <c r="I27" s="3">
        <v>-0.945679562494348</v>
      </c>
      <c r="J27" s="3">
        <v>-0.960119335334673</v>
      </c>
      <c r="K27" s="3">
        <v>-0.9892994672896397</v>
      </c>
      <c r="L27" s="3">
        <v>-0.09761174244524004</v>
      </c>
      <c r="M27" s="3">
        <v>-0.5443111876401944</v>
      </c>
      <c r="N27" s="3">
        <v>-0.005229383268411725</v>
      </c>
    </row>
    <row r="28" ht="15.75" customHeight="1">
      <c r="A28" s="3">
        <v>94.06761963459648</v>
      </c>
      <c r="B28" s="3">
        <v>184.9182040416615</v>
      </c>
      <c r="C28" s="3">
        <v>40.91878354539093</v>
      </c>
      <c r="D28" s="3">
        <v>8.587069705088602</v>
      </c>
      <c r="E28" s="3">
        <v>3.206347586056685</v>
      </c>
      <c r="F28" s="3">
        <v>9.70011028050544</v>
      </c>
      <c r="G28" s="3">
        <f t="shared" si="1"/>
        <v>2.675414416</v>
      </c>
      <c r="H28" s="3">
        <v>0.005087291962804857</v>
      </c>
      <c r="I28" s="3">
        <v>-0.9523824289690446</v>
      </c>
      <c r="J28" s="3">
        <v>-0.966645419832681</v>
      </c>
      <c r="K28" s="3">
        <v>-0.9911923814883871</v>
      </c>
      <c r="L28" s="3">
        <v>-0.371724412060677</v>
      </c>
      <c r="M28" s="3">
        <v>-0.5776916779999428</v>
      </c>
      <c r="N28" s="3">
        <v>-0.07989368449431068</v>
      </c>
    </row>
    <row r="29" ht="15.75" customHeight="1">
      <c r="A29" s="3">
        <v>33.24779370639893</v>
      </c>
      <c r="B29" s="3">
        <v>139.9543197357424</v>
      </c>
      <c r="C29" s="3">
        <v>39.77579779949333</v>
      </c>
      <c r="D29" s="3">
        <v>11.0737491881141</v>
      </c>
      <c r="E29" s="3">
        <v>3.200047562614213</v>
      </c>
      <c r="F29" s="3">
        <v>3.022141439580111</v>
      </c>
      <c r="G29" s="3">
        <f t="shared" si="1"/>
        <v>4.002554425</v>
      </c>
      <c r="H29" s="3">
        <v>0.2338913156206271</v>
      </c>
      <c r="I29" s="3">
        <v>-0.0420659302781839</v>
      </c>
      <c r="J29" s="3">
        <v>-0.3616361351108502</v>
      </c>
      <c r="K29" s="3">
        <v>-0.4356249730260852</v>
      </c>
      <c r="L29" s="3">
        <v>-0.01257743003253313</v>
      </c>
      <c r="M29" s="3">
        <v>-0.2739246213220218</v>
      </c>
      <c r="N29" s="3">
        <v>-0.02160587943416973</v>
      </c>
    </row>
    <row r="30" ht="15.75" customHeight="1">
      <c r="A30" s="3">
        <v>53.57826809672144</v>
      </c>
      <c r="B30" s="3">
        <v>139.9549316162322</v>
      </c>
      <c r="C30" s="3">
        <v>46.00012884120595</v>
      </c>
      <c r="D30" s="3">
        <v>11.31867230153165</v>
      </c>
      <c r="E30" s="3">
        <v>3.101779247107499</v>
      </c>
      <c r="F30" s="3">
        <v>4.558098080956683</v>
      </c>
      <c r="G30" s="3">
        <f t="shared" si="1"/>
        <v>2.466597783</v>
      </c>
      <c r="H30" s="3">
        <v>0.03841138037475948</v>
      </c>
      <c r="I30" s="3">
        <v>-0.7632342719188245</v>
      </c>
      <c r="J30" s="3">
        <v>-0.8046001257007199</v>
      </c>
      <c r="K30" s="3">
        <v>-0.9163117610597346</v>
      </c>
      <c r="L30" s="3">
        <v>-0.18268636083461</v>
      </c>
      <c r="M30" s="3">
        <v>-0.2752333986919481</v>
      </c>
      <c r="N30" s="3">
        <v>-0.00911966917303855</v>
      </c>
    </row>
    <row r="31" ht="15.75" customHeight="1">
      <c r="A31" s="3">
        <v>60.26331481837873</v>
      </c>
      <c r="B31" s="3">
        <v>170.9195386546588</v>
      </c>
      <c r="C31" s="3">
        <v>40.74984414725035</v>
      </c>
      <c r="D31" s="3">
        <v>10.64147233197207</v>
      </c>
      <c r="E31" s="3">
        <v>3.38467307063465</v>
      </c>
      <c r="F31" s="3">
        <v>5.152073786053216</v>
      </c>
      <c r="G31" s="3">
        <f t="shared" si="1"/>
        <v>1.872622078</v>
      </c>
      <c r="H31" s="3">
        <v>0.02464141137990317</v>
      </c>
      <c r="I31" s="3">
        <v>-0.8320871533917512</v>
      </c>
      <c r="J31" s="3">
        <v>-0.8588258773133349</v>
      </c>
      <c r="K31" s="3">
        <v>-0.9477113960500496</v>
      </c>
      <c r="L31" s="3">
        <v>-0.06187080745249867</v>
      </c>
      <c r="M31" s="3">
        <v>-0.3251711638506373</v>
      </c>
      <c r="N31" s="3">
        <v>-0.07419658432763869</v>
      </c>
    </row>
    <row r="32" ht="15.75" customHeight="1">
      <c r="A32" s="3">
        <v>97.1848642409388</v>
      </c>
      <c r="B32" s="3">
        <v>197.8089485392942</v>
      </c>
      <c r="C32" s="3">
        <v>40.76240627951558</v>
      </c>
      <c r="D32" s="3">
        <v>8.281390587591742</v>
      </c>
      <c r="E32" s="3">
        <v>4.307747632591761</v>
      </c>
      <c r="F32" s="3">
        <v>10.20202922861026</v>
      </c>
      <c r="G32" s="3">
        <f t="shared" si="1"/>
        <v>3.177333364</v>
      </c>
      <c r="H32" s="3">
        <v>0.004562721697083203</v>
      </c>
      <c r="I32" s="3">
        <v>-0.9564464580412585</v>
      </c>
      <c r="J32" s="3">
        <v>-0.9706898760349407</v>
      </c>
      <c r="K32" s="3">
        <v>-0.9922691974021631</v>
      </c>
      <c r="L32" s="3">
        <v>-0.4020171087428906</v>
      </c>
      <c r="M32" s="3">
        <v>-0.6009777125746003</v>
      </c>
      <c r="N32" s="3">
        <v>-0.07462021390492911</v>
      </c>
    </row>
    <row r="33" ht="15.75" customHeight="1">
      <c r="A33" s="3">
        <v>91.5526490752151</v>
      </c>
      <c r="B33" s="3">
        <v>185.6071061823908</v>
      </c>
      <c r="C33" s="3">
        <v>46.11143876864521</v>
      </c>
      <c r="D33" s="3">
        <v>8.148128785274015</v>
      </c>
      <c r="E33" s="3">
        <v>3.147198865653782</v>
      </c>
      <c r="F33" s="3">
        <v>9.192975790674712</v>
      </c>
      <c r="G33" s="3">
        <f t="shared" si="1"/>
        <v>2.168279927</v>
      </c>
      <c r="H33" s="3">
        <v>0.005556255671243653</v>
      </c>
      <c r="I33" s="3">
        <v>-0.9487583124252635</v>
      </c>
      <c r="J33" s="3">
        <v>-0.9631028621429039</v>
      </c>
      <c r="K33" s="3">
        <v>-0.9901839795900368</v>
      </c>
      <c r="L33" s="3">
        <v>-0.3215854326792996</v>
      </c>
      <c r="M33" s="3">
        <v>-0.5589046725526167</v>
      </c>
      <c r="N33" s="3">
        <v>-0.01605635758304634</v>
      </c>
    </row>
    <row r="34" ht="15.75" customHeight="1">
      <c r="A34" s="3">
        <v>112.6410099552093</v>
      </c>
      <c r="B34" s="3">
        <v>185.6486863829484</v>
      </c>
      <c r="C34" s="3">
        <v>39.81094851686655</v>
      </c>
      <c r="D34" s="3">
        <v>5.091796176903556</v>
      </c>
      <c r="E34" s="3">
        <v>3.848766115631298</v>
      </c>
      <c r="F34" s="3">
        <v>12.7167720171243</v>
      </c>
      <c r="G34" s="3">
        <f t="shared" si="1"/>
        <v>5.692076153</v>
      </c>
      <c r="H34" s="3">
        <v>0.002821668321997505</v>
      </c>
      <c r="I34" s="3">
        <v>-0.9707267165004151</v>
      </c>
      <c r="J34" s="3">
        <v>-0.985032362842173</v>
      </c>
      <c r="K34" s="3">
        <v>-0.9957161626782243</v>
      </c>
      <c r="L34" s="3">
        <v>-0.4553531119032666</v>
      </c>
      <c r="M34" s="3">
        <v>-0.7094864362703298</v>
      </c>
      <c r="N34" s="3">
        <v>-0.02156605825937843</v>
      </c>
    </row>
    <row r="35" ht="15.75" customHeight="1">
      <c r="A35" s="3">
        <v>139.9958326712992</v>
      </c>
      <c r="B35" s="3">
        <v>167.5543522893211</v>
      </c>
      <c r="C35" s="3">
        <v>40.97513483709496</v>
      </c>
      <c r="D35" s="3">
        <v>12.41966783510833</v>
      </c>
      <c r="E35" s="3">
        <v>3.177610436465029</v>
      </c>
      <c r="F35" s="3">
        <v>14.28285272101707</v>
      </c>
      <c r="G35" s="3">
        <f t="shared" si="1"/>
        <v>7.258156857</v>
      </c>
      <c r="H35" s="3">
        <v>0.001596203542375345</v>
      </c>
      <c r="I35" s="3">
        <v>-0.9824742932762588</v>
      </c>
      <c r="J35" s="3">
        <v>-0.9951958593006484</v>
      </c>
      <c r="K35" s="3">
        <v>-0.9982046104989003</v>
      </c>
      <c r="L35" s="3">
        <v>-0.03796174432545147</v>
      </c>
      <c r="M35" s="3">
        <v>-0.1443715092742244</v>
      </c>
      <c r="N35" s="3">
        <v>-0.08179400470909015</v>
      </c>
    </row>
    <row r="36" ht="15.75" customHeight="1">
      <c r="A36" s="3">
        <v>137.6532966602482</v>
      </c>
      <c r="B36" s="3">
        <v>181.517346956563</v>
      </c>
      <c r="C36" s="3">
        <v>40.97513483709496</v>
      </c>
      <c r="D36" s="3">
        <v>12.41357900460277</v>
      </c>
      <c r="E36" s="3">
        <v>4.662453621235652</v>
      </c>
      <c r="F36" s="3">
        <v>13.8761820070283</v>
      </c>
      <c r="G36" s="3">
        <f t="shared" si="1"/>
        <v>6.851486143</v>
      </c>
      <c r="H36" s="3">
        <v>0.00168031292818387</v>
      </c>
      <c r="I36" s="3">
        <v>-0.9817124268760428</v>
      </c>
      <c r="J36" s="3">
        <v>-0.9944630010261369</v>
      </c>
      <c r="K36" s="3">
        <v>-0.9980792420202691</v>
      </c>
      <c r="L36" s="3">
        <v>-0.001247421127224607</v>
      </c>
      <c r="M36" s="3">
        <v>-0.1210396328109612</v>
      </c>
      <c r="N36" s="3">
        <v>-0.08179400470909015</v>
      </c>
    </row>
    <row r="37" ht="15.75" customHeight="1">
      <c r="A37" s="3">
        <v>56.38719719556323</v>
      </c>
      <c r="B37" s="3">
        <v>189.2355645416344</v>
      </c>
      <c r="C37" s="3">
        <v>40.72053622406805</v>
      </c>
      <c r="D37" s="3">
        <v>11.41084797442276</v>
      </c>
      <c r="E37" s="3">
        <v>3.81492051200034</v>
      </c>
      <c r="F37" s="3">
        <v>4.861273073531752</v>
      </c>
      <c r="G37" s="3">
        <f t="shared" si="1"/>
        <v>2.163422791</v>
      </c>
      <c r="H37" s="3">
        <v>0.03175050269803317</v>
      </c>
      <c r="I37" s="3">
        <v>-0.7959086888235389</v>
      </c>
      <c r="J37" s="3">
        <v>-0.8297646654849139</v>
      </c>
      <c r="K37" s="3">
        <v>-0.9317822986226147</v>
      </c>
      <c r="L37" s="3">
        <v>-0.1305056992371077</v>
      </c>
      <c r="M37" s="3">
        <v>-0.296216294926755</v>
      </c>
      <c r="N37" s="3">
        <v>-0.07295292492028378</v>
      </c>
    </row>
    <row r="38" ht="15.75" customHeight="1">
      <c r="A38" s="3">
        <v>105.4156096619355</v>
      </c>
      <c r="B38" s="3">
        <v>198.1660646409392</v>
      </c>
      <c r="C38" s="3">
        <v>41.29716422909223</v>
      </c>
      <c r="D38" s="3">
        <v>6.05047798445572</v>
      </c>
      <c r="E38" s="3">
        <v>3.823109987248152</v>
      </c>
      <c r="F38" s="3">
        <v>11.40730070037448</v>
      </c>
      <c r="G38" s="3">
        <f t="shared" si="1"/>
        <v>4.382604836</v>
      </c>
      <c r="H38" s="3">
        <v>0.00348329899572739</v>
      </c>
      <c r="I38" s="3">
        <v>-0.9650954467261269</v>
      </c>
      <c r="J38" s="3">
        <v>-0.9794022579456291</v>
      </c>
      <c r="K38" s="3">
        <v>-0.9944153055879695</v>
      </c>
      <c r="L38" s="3">
        <v>-0.2854575480464505</v>
      </c>
      <c r="M38" s="3">
        <v>-0.6624619547988332</v>
      </c>
      <c r="N38" s="3">
        <v>-0.08979922981879376</v>
      </c>
    </row>
    <row r="39" ht="15.75" customHeight="1">
      <c r="A39" s="3">
        <v>101.4689135377907</v>
      </c>
      <c r="B39" s="3">
        <v>198.1229465323</v>
      </c>
      <c r="C39" s="3">
        <v>41.29716422909223</v>
      </c>
      <c r="D39" s="3">
        <v>6.05047798445572</v>
      </c>
      <c r="E39" s="3">
        <v>3.823109987248152</v>
      </c>
      <c r="F39" s="3">
        <v>10.64340519260401</v>
      </c>
      <c r="G39" s="3">
        <f t="shared" si="1"/>
        <v>3.618709328</v>
      </c>
      <c r="H39" s="3">
        <v>0.003934635973534737</v>
      </c>
      <c r="I39" s="3">
        <v>-0.9613534911359544</v>
      </c>
      <c r="J39" s="3">
        <v>-0.9756787329038127</v>
      </c>
      <c r="K39" s="3">
        <v>-0.9934944042656906</v>
      </c>
      <c r="L39" s="3">
        <v>-0.09837830799180747</v>
      </c>
      <c r="M39" s="3">
        <v>-0.6329798595485858</v>
      </c>
      <c r="N39" s="3">
        <v>-0.08979922981879376</v>
      </c>
    </row>
    <row r="40" ht="15.75" customHeight="1">
      <c r="A40" s="3">
        <v>134.2510396897366</v>
      </c>
      <c r="B40" s="3">
        <v>140.0211466714063</v>
      </c>
      <c r="C40" s="3">
        <v>47.16916001099922</v>
      </c>
      <c r="D40" s="3">
        <v>12.86734377144955</v>
      </c>
      <c r="E40" s="3">
        <v>4.662453621235652</v>
      </c>
      <c r="F40" s="3">
        <v>13.42403443313473</v>
      </c>
      <c r="G40" s="3">
        <f t="shared" si="1"/>
        <v>6.399338569</v>
      </c>
      <c r="H40" s="3">
        <v>0.001823069811697106</v>
      </c>
      <c r="I40" s="3">
        <v>-0.9804671621177125</v>
      </c>
      <c r="J40" s="3">
        <v>-0.9931811905075162</v>
      </c>
      <c r="K40" s="3">
        <v>-0.9978770073903404</v>
      </c>
      <c r="L40" s="3">
        <v>-0.1489976969390532</v>
      </c>
      <c r="M40" s="3">
        <v>-0.08715283706576459</v>
      </c>
      <c r="N40" s="3">
        <v>-0.0368190284203592</v>
      </c>
    </row>
    <row r="41" ht="15.75" customHeight="1">
      <c r="A41" s="3">
        <v>109.814277965709</v>
      </c>
      <c r="B41" s="3">
        <v>184.4111813606808</v>
      </c>
      <c r="C41" s="3">
        <v>38.88547150864704</v>
      </c>
      <c r="D41" s="3">
        <v>5.135599478407837</v>
      </c>
      <c r="E41" s="3">
        <v>3.891562376387433</v>
      </c>
      <c r="F41" s="3">
        <v>12.13086257704513</v>
      </c>
      <c r="G41" s="3">
        <f t="shared" si="1"/>
        <v>5.106166713</v>
      </c>
      <c r="H41" s="3">
        <v>0.003053667720503913</v>
      </c>
      <c r="I41" s="3">
        <v>-0.9687097103670077</v>
      </c>
      <c r="J41" s="3">
        <v>-0.9830345885317857</v>
      </c>
      <c r="K41" s="3">
        <v>-0.9952577562635272</v>
      </c>
      <c r="L41" s="3">
        <v>-0.2545615817618365</v>
      </c>
      <c r="M41" s="3">
        <v>-0.6953203137468992</v>
      </c>
      <c r="N41" s="3">
        <v>-0.05881338562489132</v>
      </c>
    </row>
    <row r="42" ht="15.75" customHeight="1">
      <c r="A42" s="3">
        <v>113.8241068655801</v>
      </c>
      <c r="B42" s="3">
        <v>198.071120870095</v>
      </c>
      <c r="C42" s="3">
        <v>39.71818572352035</v>
      </c>
      <c r="D42" s="3">
        <v>6.05047798445572</v>
      </c>
      <c r="E42" s="3">
        <v>3.172934525792571</v>
      </c>
      <c r="F42" s="3">
        <v>13.12805577938298</v>
      </c>
      <c r="G42" s="3">
        <f t="shared" si="1"/>
        <v>6.103359915</v>
      </c>
      <c r="H42" s="3">
        <v>0.002738499417735762</v>
      </c>
      <c r="I42" s="3">
        <v>-0.9714853197649482</v>
      </c>
      <c r="J42" s="3">
        <v>-0.985749676282727</v>
      </c>
      <c r="K42" s="3">
        <v>-0.9958915111920779</v>
      </c>
      <c r="L42" s="3">
        <v>-0.6714063902694295</v>
      </c>
      <c r="M42" s="3">
        <v>-0.699661302503711</v>
      </c>
      <c r="N42" s="3">
        <v>-0.02196504422107878</v>
      </c>
    </row>
    <row r="43" ht="15.75" customHeight="1">
      <c r="A43" s="3">
        <v>105.5752725520476</v>
      </c>
      <c r="B43" s="3">
        <v>198.1660646409392</v>
      </c>
      <c r="C43" s="3">
        <v>41.29716422909223</v>
      </c>
      <c r="D43" s="3">
        <v>6.05047798445572</v>
      </c>
      <c r="E43" s="3">
        <v>3.823109987248152</v>
      </c>
      <c r="F43" s="3">
        <v>11.43881734236845</v>
      </c>
      <c r="G43" s="3">
        <f t="shared" si="1"/>
        <v>4.414121478</v>
      </c>
      <c r="H43" s="3">
        <v>0.003466613047377232</v>
      </c>
      <c r="I43" s="3">
        <v>-0.9652355430604275</v>
      </c>
      <c r="J43" s="3">
        <v>-0.9795417064747975</v>
      </c>
      <c r="K43" s="3">
        <v>-0.9944490122597748</v>
      </c>
      <c r="L43" s="3">
        <v>-0.293024936502384</v>
      </c>
      <c r="M43" s="3">
        <v>-0.6636546477212544</v>
      </c>
      <c r="N43" s="3">
        <v>-0.08979922981879376</v>
      </c>
    </row>
    <row r="44" ht="15.75" customHeight="1">
      <c r="A44" s="5">
        <v>73.6405200016446</v>
      </c>
      <c r="B44" s="5">
        <v>139.3105157252196</v>
      </c>
      <c r="C44" s="5">
        <v>40.45446981926519</v>
      </c>
      <c r="D44" s="5">
        <v>11.24941437158595</v>
      </c>
      <c r="E44" s="5">
        <v>3.664029840132302</v>
      </c>
      <c r="F44" s="5">
        <v>6.927807690744674</v>
      </c>
      <c r="G44" s="5">
        <f t="shared" si="1"/>
        <v>0.09688817341</v>
      </c>
      <c r="H44" s="5">
        <v>0.01197341590245336</v>
      </c>
      <c r="I44" s="5">
        <v>-0.9053048270484917</v>
      </c>
      <c r="J44" s="5">
        <v>-0.9217406165786561</v>
      </c>
      <c r="K44" s="5">
        <v>-0.9765495205146478</v>
      </c>
      <c r="L44" s="5">
        <v>-0.3423805886419898</v>
      </c>
      <c r="M44" s="5">
        <v>-0.425099819361353</v>
      </c>
      <c r="N44" s="5">
        <v>-0.0569352705591808</v>
      </c>
    </row>
    <row r="45" ht="15.75" customHeight="1">
      <c r="A45" s="3">
        <v>64.94724679700991</v>
      </c>
      <c r="B45" s="3">
        <v>163.3012317946922</v>
      </c>
      <c r="C45" s="3">
        <v>40.74984414725035</v>
      </c>
      <c r="D45" s="3">
        <v>10.64147233197207</v>
      </c>
      <c r="E45" s="3">
        <v>3.350845676274771</v>
      </c>
      <c r="F45" s="3">
        <v>5.700759695135386</v>
      </c>
      <c r="G45" s="3">
        <f t="shared" si="1"/>
        <v>1.323936169</v>
      </c>
      <c r="H45" s="3">
        <v>0.01873271183382195</v>
      </c>
      <c r="I45" s="3">
        <v>-0.8646651632443086</v>
      </c>
      <c r="J45" s="3">
        <v>-0.8860174028982527</v>
      </c>
      <c r="K45" s="3">
        <v>-0.9612406815809215</v>
      </c>
      <c r="L45" s="3">
        <v>-0.1349809743691267</v>
      </c>
      <c r="M45" s="3">
        <v>-0.3601604623413098</v>
      </c>
      <c r="N45" s="3">
        <v>-0.07419658432763869</v>
      </c>
    </row>
    <row r="46" ht="15.75" customHeight="1">
      <c r="A46" s="3">
        <v>51.44840091993905</v>
      </c>
      <c r="B46" s="3">
        <v>155.9440848589504</v>
      </c>
      <c r="C46" s="3">
        <v>40.26771162627145</v>
      </c>
      <c r="D46" s="3">
        <v>11.53783320391199</v>
      </c>
      <c r="E46" s="3">
        <v>4.384311407455943</v>
      </c>
      <c r="F46" s="3">
        <v>4.389254608833871</v>
      </c>
      <c r="G46" s="3">
        <f t="shared" si="1"/>
        <v>2.635441255</v>
      </c>
      <c r="H46" s="3">
        <v>0.04485511176878312</v>
      </c>
      <c r="I46" s="3">
        <v>-0.7332496593010712</v>
      </c>
      <c r="J46" s="3">
        <v>-0.7821418993353367</v>
      </c>
      <c r="K46" s="3">
        <v>-0.9015690697286064</v>
      </c>
      <c r="L46" s="3">
        <v>-0.07351980649972084</v>
      </c>
      <c r="M46" s="3">
        <v>-0.2593231423658725</v>
      </c>
      <c r="N46" s="3">
        <v>-0.03550043060319669</v>
      </c>
    </row>
    <row r="47" ht="15.75" customHeight="1">
      <c r="A47" s="3">
        <v>55.66169222322714</v>
      </c>
      <c r="B47" s="3">
        <v>190.4103422069306</v>
      </c>
      <c r="C47" s="3">
        <v>46.54536566003012</v>
      </c>
      <c r="D47" s="3">
        <v>11.19355237709947</v>
      </c>
      <c r="E47" s="3">
        <v>3.814431103703831</v>
      </c>
      <c r="F47" s="3">
        <v>4.772275535939491</v>
      </c>
      <c r="G47" s="3">
        <f t="shared" si="1"/>
        <v>2.252420328</v>
      </c>
      <c r="H47" s="3">
        <v>0.03329879981135556</v>
      </c>
      <c r="I47" s="3">
        <v>-0.7881293007345299</v>
      </c>
      <c r="J47" s="3">
        <v>-0.8237052992301006</v>
      </c>
      <c r="K47" s="3">
        <v>-0.9281555059219941</v>
      </c>
      <c r="L47" s="3">
        <v>-0.1998209658681313</v>
      </c>
      <c r="M47" s="3">
        <v>-0.2907967221939858</v>
      </c>
      <c r="N47" s="3">
        <v>-0.03264759445753184</v>
      </c>
    </row>
    <row r="48" ht="15.75" customHeight="1">
      <c r="A48" s="3">
        <v>44.36919064119401</v>
      </c>
      <c r="B48" s="3">
        <v>181.4570710122542</v>
      </c>
      <c r="C48" s="3">
        <v>46.01118855361999</v>
      </c>
      <c r="D48" s="3">
        <v>11.29020312658326</v>
      </c>
      <c r="E48" s="3">
        <v>3.101779247107499</v>
      </c>
      <c r="F48" s="3">
        <v>3.709955796923149</v>
      </c>
      <c r="G48" s="3">
        <f t="shared" si="1"/>
        <v>3.314740067</v>
      </c>
      <c r="H48" s="3">
        <v>0.07859516276991582</v>
      </c>
      <c r="I48" s="3">
        <v>-0.5884708861281784</v>
      </c>
      <c r="J48" s="3">
        <v>-0.6811979131559034</v>
      </c>
      <c r="K48" s="3">
        <v>-0.8220520100332369</v>
      </c>
      <c r="L48" s="3">
        <v>-0.06534303728609905</v>
      </c>
      <c r="M48" s="3">
        <v>-0.2064409479507366</v>
      </c>
      <c r="N48" s="3">
        <v>-0.009871893275621184</v>
      </c>
    </row>
    <row r="49" ht="15.75" customHeight="1">
      <c r="A49" s="3">
        <v>41.06020992989362</v>
      </c>
      <c r="B49" s="3">
        <v>187.7563369026861</v>
      </c>
      <c r="C49" s="3">
        <v>40.73218070599237</v>
      </c>
      <c r="D49" s="3">
        <v>11.8617572223026</v>
      </c>
      <c r="E49" s="3">
        <v>3.606686839567761</v>
      </c>
      <c r="F49" s="3">
        <v>3.532064415887079</v>
      </c>
      <c r="G49" s="3">
        <f t="shared" si="1"/>
        <v>3.492631448</v>
      </c>
      <c r="H49" s="3">
        <v>0.1065215558156857</v>
      </c>
      <c r="I49" s="3">
        <v>-0.48177956930594</v>
      </c>
      <c r="J49" s="3">
        <v>-0.6123957345358515</v>
      </c>
      <c r="K49" s="3">
        <v>-0.7573756128819304</v>
      </c>
      <c r="L49" s="3">
        <v>-0.002385343364414739</v>
      </c>
      <c r="M49" s="3">
        <v>-0.181722631302295</v>
      </c>
      <c r="N49" s="3">
        <v>-0.07351763996446584</v>
      </c>
    </row>
    <row r="50" ht="15.75" customHeight="1">
      <c r="A50" s="3">
        <v>47.13546906256928</v>
      </c>
      <c r="B50" s="3">
        <v>150.9961915536149</v>
      </c>
      <c r="C50" s="3">
        <v>40.76801858603773</v>
      </c>
      <c r="D50" s="3">
        <v>11.58093089553636</v>
      </c>
      <c r="E50" s="3">
        <v>4.305802398917022</v>
      </c>
      <c r="F50" s="3">
        <v>3.988749304696702</v>
      </c>
      <c r="G50" s="3">
        <f t="shared" si="1"/>
        <v>3.035946559</v>
      </c>
      <c r="H50" s="3">
        <v>0.06252757134643708</v>
      </c>
      <c r="I50" s="3">
        <v>-0.6552340278531339</v>
      </c>
      <c r="J50" s="3">
        <v>-0.726406814058853</v>
      </c>
      <c r="K50" s="3">
        <v>-0.8602899075052081</v>
      </c>
      <c r="L50" s="3">
        <v>-0.03470197003540695</v>
      </c>
      <c r="M50" s="3">
        <v>-0.2271052406508391</v>
      </c>
      <c r="N50" s="3">
        <v>-0.0748094762840699</v>
      </c>
    </row>
    <row r="51" ht="15.75" customHeight="1">
      <c r="A51" s="3">
        <v>33.15833772808017</v>
      </c>
      <c r="B51" s="3">
        <v>173.9744256076649</v>
      </c>
      <c r="C51" s="3">
        <v>46.11143876864521</v>
      </c>
      <c r="D51" s="3">
        <v>11.8704899906021</v>
      </c>
      <c r="E51" s="3">
        <v>3.128921076384215</v>
      </c>
      <c r="F51" s="3">
        <v>2.997112466835438</v>
      </c>
      <c r="G51" s="3">
        <f t="shared" si="1"/>
        <v>4.027583397</v>
      </c>
      <c r="H51" s="3">
        <v>0.2450459793951733</v>
      </c>
      <c r="I51" s="3">
        <v>-0.02306731271490932</v>
      </c>
      <c r="J51" s="3">
        <v>-0.3506557741270282</v>
      </c>
      <c r="K51" s="3">
        <v>-0.4295099022234142</v>
      </c>
      <c r="L51" s="3">
        <v>-0.03116199455899091</v>
      </c>
      <c r="M51" s="3">
        <v>-0.1226950949576711</v>
      </c>
      <c r="N51" s="3">
        <v>-0.01605635758304634</v>
      </c>
    </row>
    <row r="52" ht="15.75" customHeight="1">
      <c r="F52" s="3">
        <f>AVERAGE(F2:F51)</f>
        <v>7.024695864</v>
      </c>
      <c r="G52" s="3">
        <f>SMALL(G2:G51,1)</f>
        <v>0.09688817341</v>
      </c>
    </row>
    <row r="53" ht="15.75" customHeight="1">
      <c r="F53" s="3">
        <f>SMALL(F2:F51,1)</f>
        <v>2.997091288</v>
      </c>
    </row>
    <row r="54" ht="15.75" customHeight="1">
      <c r="F54" s="3">
        <f>LARGE(F2:F51,1)</f>
        <v>15.8832725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2026-08-29T01:36:46Z</dcterms:created>
  <dc:creator>openpyxl</dc:creator>
</cp:coreProperties>
</file>