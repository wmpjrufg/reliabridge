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dos" sheetId="1" r:id="rId4"/>
  </sheets>
  <definedNames/>
  <calcPr/>
  <extLst>
    <ext uri="GoogleSheetsCustomDataVersion2">
      <go:sheetsCustomData xmlns:go="http://customooxmlschemas.google.com/" r:id="rId5" roundtripDataChecksum="7H1o44BRgZkjYMwgm7aa+rbGoYciXdKysf4ED2rQBSY="/>
    </ext>
  </extLst>
</workbook>
</file>

<file path=xl/sharedStrings.xml><?xml version="1.0" encoding="utf-8"?>
<sst xmlns="http://schemas.openxmlformats.org/spreadsheetml/2006/main" count="13" uniqueCount="13">
  <si>
    <t>d_cm</t>
  </si>
  <si>
    <t>esp_cm</t>
  </si>
  <si>
    <t>bw_cm</t>
  </si>
  <si>
    <t>h_cm</t>
  </si>
  <si>
    <t>esp_tab_cm</t>
  </si>
  <si>
    <t>of_volume_m3</t>
  </si>
  <si>
    <t>of_fator_flecha</t>
  </si>
  <si>
    <t>longarina_g_m</t>
  </si>
  <si>
    <t>longarina_g_v</t>
  </si>
  <si>
    <t>longarina_g_f</t>
  </si>
  <si>
    <t>tabuleiro_g_m</t>
  </si>
  <si>
    <t>longarina_g_esp</t>
  </si>
  <si>
    <t>tabuleiro_g_esp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</si>
</sst>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2" fontId="2" numFmtId="0" xfId="0" applyFill="1" applyFont="1"/>
    <xf borderId="0" fillId="3" fontId="2" numFmtId="0" xfId="0" applyFill="1" applyFont="1"/>
    <xf borderId="0" fillId="0" fontId="2" numFmtId="0" xfId="0" applyFont="1"/>
    <xf borderId="0" fillId="4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2.29"/>
    <col customWidth="1" min="6" max="6" width="14.29"/>
    <col customWidth="1" min="7" max="8" width="15.43"/>
    <col customWidth="1" min="9" max="9" width="15.0"/>
    <col customWidth="1" min="10" max="11" width="14.0"/>
    <col customWidth="1" min="12" max="12" width="17.14"/>
    <col customWidth="1" min="13" max="13" width="15.43"/>
    <col customWidth="1" min="14" max="14" width="16.14"/>
    <col customWidth="1" min="15" max="15" width="8.71"/>
    <col customWidth="1" min="16" max="16" width="16.14"/>
    <col customWidth="1" min="17" max="2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>
      <c r="A2" s="2">
        <v>149.9983322410316</v>
      </c>
      <c r="B2" s="2">
        <v>199.0479731813883</v>
      </c>
      <c r="C2" s="2">
        <v>51.93074859650105</v>
      </c>
      <c r="D2" s="2">
        <v>9.97199705783514</v>
      </c>
      <c r="E2" s="2">
        <v>4.003117204660768</v>
      </c>
      <c r="F2" s="2">
        <v>23.56220124069783</v>
      </c>
      <c r="G2" s="2">
        <f t="shared" ref="G2:G51" si="1">ABS(F2-$F$52)</f>
        <v>12.27798062</v>
      </c>
      <c r="H2" s="2">
        <v>0.004805902878677952</v>
      </c>
      <c r="I2" s="2">
        <v>-0.9645305999541861</v>
      </c>
      <c r="J2" s="2">
        <v>-0.9639034974333861</v>
      </c>
      <c r="K2" s="2">
        <v>-0.9939831662007932</v>
      </c>
      <c r="L2" s="2">
        <v>-0.00876190251621132</v>
      </c>
      <c r="M2" s="2">
        <v>-0.2439973349536898</v>
      </c>
      <c r="N2" s="2">
        <v>-0.02595825801050135</v>
      </c>
    </row>
    <row r="3">
      <c r="A3" s="3">
        <v>44.83998512179377</v>
      </c>
      <c r="B3" s="3">
        <v>170.5185302840811</v>
      </c>
      <c r="C3" s="3">
        <v>54.36696174408524</v>
      </c>
      <c r="D3" s="3">
        <v>10.03208452009644</v>
      </c>
      <c r="E3" s="3">
        <v>3.763161462519169</v>
      </c>
      <c r="F3" s="3">
        <v>5.368451304261364</v>
      </c>
      <c r="G3" s="3">
        <f t="shared" si="1"/>
        <v>5.91576932</v>
      </c>
      <c r="H3" s="3">
        <v>0.3111855647901013</v>
      </c>
      <c r="I3" s="3">
        <v>-0.01412902778060852</v>
      </c>
      <c r="J3" s="3">
        <v>-0.4885279010268762</v>
      </c>
      <c r="K3" s="3">
        <v>-0.246554406088694</v>
      </c>
      <c r="L3" s="3">
        <v>-0.003708456568031493</v>
      </c>
      <c r="M3" s="3">
        <v>-0.2099578155492878</v>
      </c>
      <c r="N3" s="3">
        <v>-0.006579237031771919</v>
      </c>
      <c r="P3" s="4">
        <f>LARGE(I2:L3,1)</f>
        <v>-0.003708456568</v>
      </c>
    </row>
    <row r="4">
      <c r="A4" s="4">
        <v>44.83998512179377</v>
      </c>
      <c r="B4" s="4">
        <v>170.7126827287599</v>
      </c>
      <c r="C4" s="4">
        <v>54.36696174408524</v>
      </c>
      <c r="D4" s="4">
        <v>10.03208452009644</v>
      </c>
      <c r="E4" s="4">
        <v>3.763161462519169</v>
      </c>
      <c r="F4" s="4">
        <v>5.368451304261364</v>
      </c>
      <c r="G4" s="4">
        <f t="shared" si="1"/>
        <v>5.91576932</v>
      </c>
      <c r="H4" s="4">
        <v>0.3111855647901013</v>
      </c>
      <c r="I4" s="4">
        <v>-0.01412902778060852</v>
      </c>
      <c r="J4" s="4">
        <v>-0.4885279010268762</v>
      </c>
      <c r="K4" s="4">
        <v>-0.246554406088694</v>
      </c>
      <c r="L4" s="4">
        <v>-0.003708456568031493</v>
      </c>
      <c r="M4" s="4">
        <v>-0.2099578155492878</v>
      </c>
      <c r="N4" s="4">
        <v>-0.006579237031771919</v>
      </c>
    </row>
    <row r="5">
      <c r="A5" s="4">
        <v>149.9983322410316</v>
      </c>
      <c r="B5" s="4">
        <v>198.9314049341831</v>
      </c>
      <c r="C5" s="4">
        <v>51.93074859650105</v>
      </c>
      <c r="D5" s="4">
        <v>9.97199705783514</v>
      </c>
      <c r="E5" s="4">
        <v>4.003117204660768</v>
      </c>
      <c r="F5" s="4">
        <v>23.56220124069783</v>
      </c>
      <c r="G5" s="4">
        <f t="shared" si="1"/>
        <v>12.27798062</v>
      </c>
      <c r="H5" s="4">
        <v>0.004805902878677952</v>
      </c>
      <c r="I5" s="4">
        <v>-0.9645305999541861</v>
      </c>
      <c r="J5" s="4">
        <v>-0.9639034974333861</v>
      </c>
      <c r="K5" s="4">
        <v>-0.9939831662007932</v>
      </c>
      <c r="L5" s="4">
        <v>-0.00876190251621132</v>
      </c>
      <c r="M5" s="4">
        <v>-0.2439973349536898</v>
      </c>
      <c r="N5" s="4">
        <v>-0.02595825801050135</v>
      </c>
    </row>
    <row r="6">
      <c r="A6" s="4">
        <v>55.79724119072651</v>
      </c>
      <c r="B6" s="4">
        <v>129.3113859487513</v>
      </c>
      <c r="C6" s="4">
        <v>52.04588204484448</v>
      </c>
      <c r="D6" s="4">
        <v>9.709082205106169</v>
      </c>
      <c r="E6" s="4">
        <v>3.728373553744629</v>
      </c>
      <c r="F6" s="4">
        <v>6.81323182104525</v>
      </c>
      <c r="G6" s="4">
        <f t="shared" si="1"/>
        <v>4.470988803</v>
      </c>
      <c r="H6" s="4">
        <v>0.1345915135114492</v>
      </c>
      <c r="I6" s="4">
        <v>-0.4813111418385993</v>
      </c>
      <c r="J6" s="4">
        <v>-0.6854576085206977</v>
      </c>
      <c r="K6" s="4">
        <v>-0.6857590123951609</v>
      </c>
      <c r="L6" s="4">
        <v>-0.05090579665771198</v>
      </c>
      <c r="M6" s="4">
        <v>-0.2918092824330276</v>
      </c>
      <c r="N6" s="4">
        <v>-0.02662739290511615</v>
      </c>
    </row>
    <row r="7">
      <c r="A7" s="4">
        <v>46.58652995161828</v>
      </c>
      <c r="B7" s="4">
        <v>192.5125754122204</v>
      </c>
      <c r="C7" s="4">
        <v>53.85373758310233</v>
      </c>
      <c r="D7" s="4">
        <v>9.96050004251423</v>
      </c>
      <c r="E7" s="4">
        <v>3.551181595517101</v>
      </c>
      <c r="F7" s="4">
        <v>5.566661708373379</v>
      </c>
      <c r="G7" s="4">
        <f t="shared" si="1"/>
        <v>5.717558916</v>
      </c>
      <c r="H7" s="4">
        <v>0.2683598184097102</v>
      </c>
      <c r="I7" s="4">
        <v>-0.1193409783545363</v>
      </c>
      <c r="J7" s="4">
        <v>-0.5299879856798234</v>
      </c>
      <c r="K7" s="4">
        <v>-0.3533455273438408</v>
      </c>
      <c r="L7" s="4">
        <v>-0.003500025784572906</v>
      </c>
      <c r="M7" s="4">
        <v>-0.2230046272145437</v>
      </c>
      <c r="N7" s="4">
        <v>-0.004237461424972917</v>
      </c>
    </row>
    <row r="8">
      <c r="A8" s="4">
        <v>143.1182676669909</v>
      </c>
      <c r="B8" s="4">
        <v>188.8140585124752</v>
      </c>
      <c r="C8" s="4">
        <v>52.04218040197819</v>
      </c>
      <c r="D8" s="4">
        <v>10.86900040085045</v>
      </c>
      <c r="E8" s="4">
        <v>4.141039522023858</v>
      </c>
      <c r="F8" s="4">
        <v>21.8989167573755</v>
      </c>
      <c r="G8" s="4">
        <f t="shared" si="1"/>
        <v>10.61469613</v>
      </c>
      <c r="H8" s="4">
        <v>0.005571931356140049</v>
      </c>
      <c r="I8" s="4">
        <v>-0.9600178166107728</v>
      </c>
      <c r="J8" s="4">
        <v>-0.9600157936758766</v>
      </c>
      <c r="K8" s="4">
        <v>-0.9927400529437589</v>
      </c>
      <c r="L8" s="4">
        <v>-0.05893793428397461</v>
      </c>
      <c r="M8" s="4">
        <v>-0.1754712521342549</v>
      </c>
      <c r="N8" s="4">
        <v>-0.02667449472078204</v>
      </c>
    </row>
    <row r="9">
      <c r="A9" s="4">
        <v>47.53276526015573</v>
      </c>
      <c r="B9" s="4">
        <v>193.7422195928967</v>
      </c>
      <c r="C9" s="4">
        <v>52.06645436905022</v>
      </c>
      <c r="D9" s="4">
        <v>10.11197166176687</v>
      </c>
      <c r="E9" s="4">
        <v>3.727276958363957</v>
      </c>
      <c r="F9" s="4">
        <v>5.717251665942669</v>
      </c>
      <c r="G9" s="4">
        <f t="shared" si="1"/>
        <v>5.566968958</v>
      </c>
      <c r="H9" s="4">
        <v>0.2486362183953297</v>
      </c>
      <c r="I9" s="4">
        <v>-0.1696332186963727</v>
      </c>
      <c r="J9" s="4">
        <v>-0.5502365010778011</v>
      </c>
      <c r="K9" s="4">
        <v>-0.4033200909949874</v>
      </c>
      <c r="L9" s="4">
        <v>-0.01298964765559119</v>
      </c>
      <c r="M9" s="4">
        <v>-0.2300730709502501</v>
      </c>
      <c r="N9" s="4">
        <v>-0.02636561891514665</v>
      </c>
    </row>
    <row r="10">
      <c r="A10" s="4">
        <v>70.0284102661929</v>
      </c>
      <c r="B10" s="4">
        <v>158.9880584908247</v>
      </c>
      <c r="C10" s="4">
        <v>52.0534696687698</v>
      </c>
      <c r="D10" s="4">
        <v>8.393826712048748</v>
      </c>
      <c r="E10" s="4">
        <v>3.889967900102864</v>
      </c>
      <c r="F10" s="4">
        <v>8.99532667385717</v>
      </c>
      <c r="G10" s="4">
        <f t="shared" si="1"/>
        <v>2.28889395</v>
      </c>
      <c r="H10" s="4">
        <v>0.05739979566234771</v>
      </c>
      <c r="I10" s="4">
        <v>-0.731828819522221</v>
      </c>
      <c r="J10" s="4">
        <v>-0.8121511695582532</v>
      </c>
      <c r="K10" s="4">
        <v>-0.8733466541817986</v>
      </c>
      <c r="L10" s="4">
        <v>-0.01104324851088607</v>
      </c>
      <c r="M10" s="4">
        <v>-0.3981171077653324</v>
      </c>
      <c r="N10" s="4">
        <v>-0.02653084364945318</v>
      </c>
    </row>
    <row r="11">
      <c r="A11" s="4">
        <v>59.31228904343119</v>
      </c>
      <c r="B11" s="4">
        <v>188.5430858116763</v>
      </c>
      <c r="C11" s="4">
        <v>52.29227133857653</v>
      </c>
      <c r="D11" s="4">
        <v>9.18802022156331</v>
      </c>
      <c r="E11" s="4">
        <v>4.146566895730841</v>
      </c>
      <c r="F11" s="4">
        <v>7.260823610299737</v>
      </c>
      <c r="G11" s="4">
        <f t="shared" si="1"/>
        <v>4.023397014</v>
      </c>
      <c r="H11" s="4">
        <v>0.1066038723823823</v>
      </c>
      <c r="I11" s="4">
        <v>-0.5663155355806274</v>
      </c>
      <c r="J11" s="4">
        <v>-0.7260980251233514</v>
      </c>
      <c r="K11" s="4">
        <v>-0.7538867494996924</v>
      </c>
      <c r="L11" s="4">
        <v>-0.002939308480074611</v>
      </c>
      <c r="M11" s="4">
        <v>-0.3180669349968087</v>
      </c>
      <c r="N11" s="4">
        <v>-0.02349219496340886</v>
      </c>
    </row>
    <row r="12">
      <c r="A12" s="4">
        <v>111.4310325810911</v>
      </c>
      <c r="B12" s="4">
        <v>127.4285509247285</v>
      </c>
      <c r="C12" s="4">
        <v>48.36598685986807</v>
      </c>
      <c r="D12" s="4">
        <v>5.28725430398217</v>
      </c>
      <c r="E12" s="4">
        <v>4.066932163509051</v>
      </c>
      <c r="F12" s="4">
        <v>18.7648340083764</v>
      </c>
      <c r="G12" s="4">
        <f t="shared" si="1"/>
        <v>7.480613384</v>
      </c>
      <c r="H12" s="4">
        <v>0.01140781159176465</v>
      </c>
      <c r="I12" s="4">
        <v>-0.9262619465176324</v>
      </c>
      <c r="J12" s="4">
        <v>-0.9349384567015929</v>
      </c>
      <c r="K12" s="4">
        <v>-0.9802444503670451</v>
      </c>
      <c r="L12" s="4">
        <v>-0.5196367365404204</v>
      </c>
      <c r="M12" s="4">
        <v>-0.7057422874696895</v>
      </c>
      <c r="N12" s="4">
        <v>-0.06737520535770883</v>
      </c>
    </row>
    <row r="13">
      <c r="A13" s="4">
        <v>48.40222501199872</v>
      </c>
      <c r="B13" s="4">
        <v>190.7263375801372</v>
      </c>
      <c r="C13" s="4">
        <v>52.06555679705627</v>
      </c>
      <c r="D13" s="4">
        <v>10.03551844584521</v>
      </c>
      <c r="E13" s="4">
        <v>3.80074539048073</v>
      </c>
      <c r="F13" s="4">
        <v>5.815009194512155</v>
      </c>
      <c r="G13" s="4">
        <f t="shared" si="1"/>
        <v>5.46921143</v>
      </c>
      <c r="H13" s="4">
        <v>0.2317854497849562</v>
      </c>
      <c r="I13" s="4">
        <v>-0.2128976407932297</v>
      </c>
      <c r="J13" s="4">
        <v>-0.5680174217350394</v>
      </c>
      <c r="K13" s="4">
        <v>-0.4450518196775725</v>
      </c>
      <c r="L13" s="4">
        <v>-0.009912269637136047</v>
      </c>
      <c r="M13" s="4">
        <v>-0.2365679959238939</v>
      </c>
      <c r="N13" s="4">
        <v>-0.02637704013327425</v>
      </c>
    </row>
    <row r="14">
      <c r="A14" s="4">
        <v>133.2291020456547</v>
      </c>
      <c r="B14" s="4">
        <v>193.0664854858894</v>
      </c>
      <c r="C14" s="4">
        <v>52.01546913348327</v>
      </c>
      <c r="D14" s="4">
        <v>11.96266388061132</v>
      </c>
      <c r="E14" s="4">
        <v>3.763196444507766</v>
      </c>
      <c r="F14" s="4">
        <v>19.62523169419684</v>
      </c>
      <c r="G14" s="4">
        <f t="shared" si="1"/>
        <v>8.34101107</v>
      </c>
      <c r="H14" s="4">
        <v>0.007018604540611289</v>
      </c>
      <c r="I14" s="4">
        <v>-0.951839998367721</v>
      </c>
      <c r="J14" s="4">
        <v>-0.9530963851771851</v>
      </c>
      <c r="K14" s="4">
        <v>-0.9903324298158336</v>
      </c>
      <c r="L14" s="4">
        <v>-0.09364178141812346</v>
      </c>
      <c r="M14" s="4">
        <v>-0.07697424311784061</v>
      </c>
      <c r="N14" s="4">
        <v>-0.02679118226101599</v>
      </c>
    </row>
    <row r="15">
      <c r="A15" s="4">
        <v>61.22641281756546</v>
      </c>
      <c r="B15" s="4">
        <v>178.0978174186592</v>
      </c>
      <c r="C15" s="4">
        <v>52.29227133857653</v>
      </c>
      <c r="D15" s="4">
        <v>9.171854862057325</v>
      </c>
      <c r="E15" s="4">
        <v>3.86098747726907</v>
      </c>
      <c r="F15" s="4">
        <v>7.580522360454593</v>
      </c>
      <c r="G15" s="4">
        <f t="shared" si="1"/>
        <v>3.703698264</v>
      </c>
      <c r="H15" s="4">
        <v>0.09467054572162532</v>
      </c>
      <c r="I15" s="4">
        <v>-0.6044700148015287</v>
      </c>
      <c r="J15" s="4">
        <v>-0.7449734547335413</v>
      </c>
      <c r="K15" s="4">
        <v>-0.7832503148743553</v>
      </c>
      <c r="L15" s="4">
        <v>-0.03081648140857583</v>
      </c>
      <c r="M15" s="4">
        <v>-0.3323655730613282</v>
      </c>
      <c r="N15" s="4">
        <v>-0.02349219496340886</v>
      </c>
    </row>
    <row r="16">
      <c r="A16" s="4">
        <v>49.04519368101892</v>
      </c>
      <c r="B16" s="4">
        <v>185.7479960148335</v>
      </c>
      <c r="C16" s="4">
        <v>51.96539613734634</v>
      </c>
      <c r="D16" s="4">
        <v>10.03134169600348</v>
      </c>
      <c r="E16" s="4">
        <v>4.525468087006647</v>
      </c>
      <c r="F16" s="4">
        <v>5.904820465801711</v>
      </c>
      <c r="G16" s="4">
        <f t="shared" si="1"/>
        <v>5.379400159</v>
      </c>
      <c r="H16" s="4">
        <v>0.2203680489437387</v>
      </c>
      <c r="I16" s="4">
        <v>-0.2428041938219413</v>
      </c>
      <c r="J16" s="4">
        <v>-0.5804451323044071</v>
      </c>
      <c r="K16" s="4">
        <v>-0.4735854057166835</v>
      </c>
      <c r="L16" s="4">
        <v>-0.01607183135130055</v>
      </c>
      <c r="M16" s="4">
        <v>-0.2413710167156417</v>
      </c>
      <c r="N16" s="4">
        <v>-0.02637588946966628</v>
      </c>
    </row>
    <row r="17">
      <c r="A17" s="4">
        <v>148.0722326592102</v>
      </c>
      <c r="B17" s="4">
        <v>199.0479731813883</v>
      </c>
      <c r="C17" s="4">
        <v>54.37268404802641</v>
      </c>
      <c r="D17" s="4">
        <v>10.34100063551135</v>
      </c>
      <c r="E17" s="4">
        <v>4.000871936661452</v>
      </c>
      <c r="F17" s="4">
        <v>23.13810250310352</v>
      </c>
      <c r="G17" s="4">
        <f t="shared" si="1"/>
        <v>11.85388188</v>
      </c>
      <c r="H17" s="4">
        <v>0.005008211770119411</v>
      </c>
      <c r="I17" s="4">
        <v>-0.963332962873018</v>
      </c>
      <c r="J17" s="4">
        <v>-0.96285182672811</v>
      </c>
      <c r="K17" s="4">
        <v>-0.993663940636485</v>
      </c>
      <c r="L17" s="4">
        <v>-0.08709370733091128</v>
      </c>
      <c r="M17" s="4">
        <v>-0.2248132040430031</v>
      </c>
      <c r="N17" s="4">
        <v>-0.006418541074112719</v>
      </c>
    </row>
    <row r="18">
      <c r="A18" s="4">
        <v>138.6944297099293</v>
      </c>
      <c r="B18" s="4">
        <v>191.5458649787948</v>
      </c>
      <c r="C18" s="4">
        <v>54.21182138002173</v>
      </c>
      <c r="D18" s="4">
        <v>10.86900040085045</v>
      </c>
      <c r="E18" s="4">
        <v>4.141039522023858</v>
      </c>
      <c r="F18" s="4">
        <v>20.74804605808271</v>
      </c>
      <c r="G18" s="4">
        <f t="shared" si="1"/>
        <v>9.463825434</v>
      </c>
      <c r="H18" s="4">
        <v>0.006145190558759473</v>
      </c>
      <c r="I18" s="4">
        <v>-0.9566956832178677</v>
      </c>
      <c r="J18" s="4">
        <v>-0.9572322497038646</v>
      </c>
      <c r="K18" s="4">
        <v>-0.9917685250630945</v>
      </c>
      <c r="L18" s="4">
        <v>-0.02949489678912827</v>
      </c>
      <c r="M18" s="4">
        <v>-0.1314094147833122</v>
      </c>
      <c r="N18" s="4">
        <v>-0.00965146249887399</v>
      </c>
    </row>
    <row r="19">
      <c r="A19" s="4">
        <v>64.41966280204728</v>
      </c>
      <c r="B19" s="4">
        <v>173.7471659560202</v>
      </c>
      <c r="C19" s="4">
        <v>52.04206459580325</v>
      </c>
      <c r="D19" s="4">
        <v>9.173461804672362</v>
      </c>
      <c r="E19" s="4">
        <v>3.888752394068878</v>
      </c>
      <c r="F19" s="4">
        <v>8.132874832042608</v>
      </c>
      <c r="G19" s="4">
        <f t="shared" si="1"/>
        <v>3.151345792</v>
      </c>
      <c r="H19" s="4">
        <v>0.07836632398280069</v>
      </c>
      <c r="I19" s="4">
        <v>-0.6585334660252303</v>
      </c>
      <c r="J19" s="4">
        <v>-0.77259809784939</v>
      </c>
      <c r="K19" s="4">
        <v>-0.8231357943400494</v>
      </c>
      <c r="L19" s="4">
        <v>-0.0791288522271065</v>
      </c>
      <c r="M19" s="4">
        <v>-0.3562193731105385</v>
      </c>
      <c r="N19" s="4">
        <v>-0.02667596830462094</v>
      </c>
    </row>
    <row r="20">
      <c r="A20" s="4">
        <v>51.39341244975382</v>
      </c>
      <c r="B20" s="4">
        <v>199.0479731813883</v>
      </c>
      <c r="C20" s="4">
        <v>51.93074859650105</v>
      </c>
      <c r="D20" s="4">
        <v>9.971758929619917</v>
      </c>
      <c r="E20" s="4">
        <v>4.003117204660768</v>
      </c>
      <c r="F20" s="4">
        <v>6.219102476292246</v>
      </c>
      <c r="G20" s="4">
        <f t="shared" si="1"/>
        <v>5.065118148</v>
      </c>
      <c r="H20" s="4">
        <v>0.1842213036181399</v>
      </c>
      <c r="I20" s="4">
        <v>-0.3399675953889225</v>
      </c>
      <c r="J20" s="4">
        <v>-0.6218745943570223</v>
      </c>
      <c r="K20" s="4">
        <v>-0.5633998143270348</v>
      </c>
      <c r="L20" s="4">
        <v>-0.03651773138143764</v>
      </c>
      <c r="M20" s="4">
        <v>-0.258912374659246</v>
      </c>
      <c r="N20" s="4">
        <v>-0.02595825801050135</v>
      </c>
    </row>
    <row r="21" ht="15.75" customHeight="1">
      <c r="A21" s="4">
        <v>103.187818782346</v>
      </c>
      <c r="B21" s="4">
        <v>197.9119622627075</v>
      </c>
      <c r="C21" s="4">
        <v>52.1758784520604</v>
      </c>
      <c r="D21" s="4">
        <v>5.164075424116401</v>
      </c>
      <c r="E21" s="4">
        <v>3.570735146860015</v>
      </c>
      <c r="F21" s="4">
        <v>16.24565121820894</v>
      </c>
      <c r="G21" s="4">
        <f t="shared" si="1"/>
        <v>4.961430594</v>
      </c>
      <c r="H21" s="4">
        <v>0.014658706560197</v>
      </c>
      <c r="I21" s="4">
        <v>-0.9094555270810716</v>
      </c>
      <c r="J21" s="4">
        <v>-0.9227145614547732</v>
      </c>
      <c r="K21" s="4">
        <v>-0.9731341857560669</v>
      </c>
      <c r="L21" s="4">
        <v>-0.1085004231637866</v>
      </c>
      <c r="M21" s="4">
        <v>-0.6458202015845741</v>
      </c>
      <c r="N21" s="4">
        <v>-0.02497324445507836</v>
      </c>
    </row>
    <row r="22" ht="15.75" customHeight="1">
      <c r="A22" s="4">
        <v>45.63016928063408</v>
      </c>
      <c r="B22" s="4">
        <v>181.4966699619025</v>
      </c>
      <c r="C22" s="4">
        <v>52.05134192428766</v>
      </c>
      <c r="D22" s="4">
        <v>10.189900143085</v>
      </c>
      <c r="E22" s="4">
        <v>3.97419783681167</v>
      </c>
      <c r="F22" s="4">
        <v>5.487387896992942</v>
      </c>
      <c r="G22" s="4">
        <f t="shared" si="1"/>
        <v>5.796832727</v>
      </c>
      <c r="H22" s="4">
        <v>0.2911268704123274</v>
      </c>
      <c r="I22" s="4">
        <v>-0.06334261446451854</v>
      </c>
      <c r="J22" s="4">
        <v>-0.5076919389431818</v>
      </c>
      <c r="K22" s="4">
        <v>-0.2974044140181656</v>
      </c>
      <c r="L22" s="4">
        <v>-0.002250546453648928</v>
      </c>
      <c r="M22" s="4">
        <v>-0.2158605463153192</v>
      </c>
      <c r="N22" s="4">
        <v>-0.02655791828414979</v>
      </c>
    </row>
    <row r="23" ht="15.75" customHeight="1">
      <c r="A23" s="4">
        <v>72.40072370904711</v>
      </c>
      <c r="B23" s="4">
        <v>179.7186792702429</v>
      </c>
      <c r="C23" s="4">
        <v>52.02250140869791</v>
      </c>
      <c r="D23" s="4">
        <v>8.169008872753656</v>
      </c>
      <c r="E23" s="4">
        <v>4.166832802577285</v>
      </c>
      <c r="F23" s="4">
        <v>9.418024954763009</v>
      </c>
      <c r="G23" s="4">
        <f t="shared" si="1"/>
        <v>1.86619567</v>
      </c>
      <c r="H23" s="4">
        <v>0.05079825915015402</v>
      </c>
      <c r="I23" s="4">
        <v>-0.7562713526269487</v>
      </c>
      <c r="J23" s="4">
        <v>-0.8259218204644484</v>
      </c>
      <c r="K23" s="4">
        <v>-0.8891483639308996</v>
      </c>
      <c r="L23" s="4">
        <v>-0.004565181018523173</v>
      </c>
      <c r="M23" s="4">
        <v>-0.4158384546047282</v>
      </c>
      <c r="N23" s="4">
        <v>-0.02669566069906831</v>
      </c>
    </row>
    <row r="24" ht="15.75" customHeight="1">
      <c r="A24" s="4">
        <v>87.90745685821678</v>
      </c>
      <c r="B24" s="4">
        <v>160.3179261504369</v>
      </c>
      <c r="C24" s="4">
        <v>51.99450745747252</v>
      </c>
      <c r="D24" s="4">
        <v>7.169020254414406</v>
      </c>
      <c r="E24" s="4">
        <v>3.537927930770926</v>
      </c>
      <c r="F24" s="4">
        <v>12.65315583301506</v>
      </c>
      <c r="G24" s="4">
        <f t="shared" si="1"/>
        <v>1.368935209</v>
      </c>
      <c r="H24" s="4">
        <v>0.02540457558653718</v>
      </c>
      <c r="I24" s="4">
        <v>-0.8591509822163551</v>
      </c>
      <c r="J24" s="4">
        <v>-0.8883521660956682</v>
      </c>
      <c r="K24" s="4">
        <v>-0.948995220782921</v>
      </c>
      <c r="L24" s="4">
        <v>-0.1247127886140049</v>
      </c>
      <c r="M24" s="4">
        <v>-0.5316748325126033</v>
      </c>
      <c r="N24" s="4">
        <v>-0.02672678892186112</v>
      </c>
    </row>
    <row r="25" ht="15.75" customHeight="1">
      <c r="A25" s="4">
        <v>52.57239267754175</v>
      </c>
      <c r="B25" s="4">
        <v>184.6223659319003</v>
      </c>
      <c r="C25" s="4">
        <v>53.97118936670138</v>
      </c>
      <c r="D25" s="4">
        <v>9.683641307595867</v>
      </c>
      <c r="E25" s="4">
        <v>3.961975201657973</v>
      </c>
      <c r="F25" s="4">
        <v>6.326819020840527</v>
      </c>
      <c r="G25" s="4">
        <f t="shared" si="1"/>
        <v>4.957401603</v>
      </c>
      <c r="H25" s="4">
        <v>0.1686443191715737</v>
      </c>
      <c r="I25" s="4">
        <v>-0.3828301304229205</v>
      </c>
      <c r="J25" s="4">
        <v>-0.6407782349152689</v>
      </c>
      <c r="K25" s="4">
        <v>-0.6012664637401878</v>
      </c>
      <c r="L25" s="4">
        <v>-0.03366410391830651</v>
      </c>
      <c r="M25" s="4">
        <v>-0.267719439171043</v>
      </c>
      <c r="N25" s="4">
        <v>-0.01012629324599526</v>
      </c>
    </row>
    <row r="26" ht="15.75" customHeight="1">
      <c r="A26" s="4">
        <v>105.4096063730262</v>
      </c>
      <c r="B26" s="4">
        <v>198.920179778882</v>
      </c>
      <c r="C26" s="4">
        <v>52.1758784520604</v>
      </c>
      <c r="D26" s="4">
        <v>5.103451982027978</v>
      </c>
      <c r="E26" s="4">
        <v>3.570735146860015</v>
      </c>
      <c r="F26" s="4">
        <v>16.88074348778927</v>
      </c>
      <c r="G26" s="4">
        <f t="shared" si="1"/>
        <v>5.596522863</v>
      </c>
      <c r="H26" s="4">
        <v>0.01366312602477682</v>
      </c>
      <c r="I26" s="4">
        <v>-0.9145030002732472</v>
      </c>
      <c r="J26" s="4">
        <v>-0.9263410204473873</v>
      </c>
      <c r="K26" s="4">
        <v>-0.9753286468144273</v>
      </c>
      <c r="L26" s="4">
        <v>-0.2044207973249292</v>
      </c>
      <c r="M26" s="4">
        <v>-0.6624171098120711</v>
      </c>
      <c r="N26" s="4">
        <v>-0.02497324445507836</v>
      </c>
    </row>
    <row r="27" ht="15.75" customHeight="1">
      <c r="A27" s="5">
        <v>81.73746990269116</v>
      </c>
      <c r="B27" s="5">
        <v>160.1624652805169</v>
      </c>
      <c r="C27" s="5">
        <v>51.99450745747252</v>
      </c>
      <c r="D27" s="5">
        <v>7.410616073498651</v>
      </c>
      <c r="E27" s="5">
        <v>3.719125041835481</v>
      </c>
      <c r="F27" s="5">
        <v>11.24521505644326</v>
      </c>
      <c r="G27" s="5">
        <f t="shared" si="1"/>
        <v>0.03900556789</v>
      </c>
      <c r="H27" s="5">
        <v>0.03279854004272052</v>
      </c>
      <c r="I27" s="5">
        <v>-0.8273385550753495</v>
      </c>
      <c r="J27" s="5">
        <v>-0.8681509523969451</v>
      </c>
      <c r="K27" s="5">
        <v>-0.9317615780525357</v>
      </c>
      <c r="L27" s="5">
        <v>-0.02544902963599629</v>
      </c>
      <c r="M27" s="5">
        <v>-0.4855845997220046</v>
      </c>
      <c r="N27" s="5">
        <v>-0.02672678892186112</v>
      </c>
    </row>
    <row r="28" ht="15.75" customHeight="1">
      <c r="A28" s="4">
        <v>100.0249118589625</v>
      </c>
      <c r="B28" s="4">
        <v>125.5401051796211</v>
      </c>
      <c r="C28" s="4">
        <v>50.91257486560075</v>
      </c>
      <c r="D28" s="4">
        <v>5.440184938261893</v>
      </c>
      <c r="E28" s="4">
        <v>3.934664951476575</v>
      </c>
      <c r="F28" s="4">
        <v>15.41800323660084</v>
      </c>
      <c r="G28" s="4">
        <f t="shared" si="1"/>
        <v>4.133782612</v>
      </c>
      <c r="H28" s="4">
        <v>0.01626961737722195</v>
      </c>
      <c r="I28" s="4">
        <v>-0.9014657775640063</v>
      </c>
      <c r="J28" s="4">
        <v>-0.9170407722552213</v>
      </c>
      <c r="K28" s="4">
        <v>-0.9695714661298069</v>
      </c>
      <c r="L28" s="4">
        <v>-0.0261991181582907</v>
      </c>
      <c r="M28" s="4">
        <v>-0.6221930663175882</v>
      </c>
      <c r="N28" s="4">
        <v>-0.0226955229467329</v>
      </c>
    </row>
    <row r="29" ht="15.75" customHeight="1">
      <c r="A29" s="4">
        <v>107.2988985436691</v>
      </c>
      <c r="B29" s="4">
        <v>170.5191448127175</v>
      </c>
      <c r="C29" s="4">
        <v>51.92769646428886</v>
      </c>
      <c r="D29" s="4">
        <v>5.720710848528759</v>
      </c>
      <c r="E29" s="4">
        <v>3.752536677024668</v>
      </c>
      <c r="F29" s="4">
        <v>17.59805439651486</v>
      </c>
      <c r="G29" s="4">
        <f t="shared" si="1"/>
        <v>6.313833772</v>
      </c>
      <c r="H29" s="4">
        <v>0.01291170243448109</v>
      </c>
      <c r="I29" s="4">
        <v>-0.9184173096826661</v>
      </c>
      <c r="J29" s="4">
        <v>-0.9291451886272449</v>
      </c>
      <c r="K29" s="4">
        <v>-0.9770209176509995</v>
      </c>
      <c r="L29" s="4">
        <v>-0.4432798303658075</v>
      </c>
      <c r="M29" s="4">
        <v>-0.6765302540670041</v>
      </c>
      <c r="N29" s="4">
        <v>-0.02592146848956517</v>
      </c>
    </row>
    <row r="30" ht="15.75" customHeight="1">
      <c r="A30" s="4">
        <v>49.96827404796467</v>
      </c>
      <c r="B30" s="4">
        <v>168.7870447948971</v>
      </c>
      <c r="C30" s="4">
        <v>52.0433457547806</v>
      </c>
      <c r="D30" s="4">
        <v>9.986939331101519</v>
      </c>
      <c r="E30" s="4">
        <v>4.285603965900779</v>
      </c>
      <c r="F30" s="4">
        <v>6.017891438310067</v>
      </c>
      <c r="G30" s="4">
        <f t="shared" si="1"/>
        <v>5.266329186</v>
      </c>
      <c r="H30" s="4">
        <v>0.2051036366611294</v>
      </c>
      <c r="I30" s="4">
        <v>-0.2832466900215195</v>
      </c>
      <c r="J30" s="4">
        <v>-0.5975072696011315</v>
      </c>
      <c r="K30" s="4">
        <v>-0.5114192613326668</v>
      </c>
      <c r="L30" s="4">
        <v>-0.02166897831614063</v>
      </c>
      <c r="M30" s="4">
        <v>-0.2482664914230654</v>
      </c>
      <c r="N30" s="4">
        <v>-0.02665966610687552</v>
      </c>
    </row>
    <row r="31" ht="15.75" customHeight="1">
      <c r="A31" s="4">
        <v>108.8665786005118</v>
      </c>
      <c r="B31" s="4">
        <v>198.4814911795969</v>
      </c>
      <c r="C31" s="4">
        <v>51.92740434887965</v>
      </c>
      <c r="D31" s="4">
        <v>5.711412837973587</v>
      </c>
      <c r="E31" s="4">
        <v>3.734905223882728</v>
      </c>
      <c r="F31" s="4">
        <v>18.07126587915962</v>
      </c>
      <c r="G31" s="4">
        <f t="shared" si="1"/>
        <v>6.787045255</v>
      </c>
      <c r="H31" s="4">
        <v>0.01231441680458124</v>
      </c>
      <c r="I31" s="4">
        <v>-0.9215183472436904</v>
      </c>
      <c r="J31" s="4">
        <v>-0.9314149572619893</v>
      </c>
      <c r="K31" s="4">
        <v>-0.9783161976828989</v>
      </c>
      <c r="L31" s="4">
        <v>-0.5078043325000334</v>
      </c>
      <c r="M31" s="4">
        <v>-0.6882409334058565</v>
      </c>
      <c r="N31" s="4">
        <v>-0.02591794741471732</v>
      </c>
    </row>
    <row r="32" ht="15.75" customHeight="1">
      <c r="A32" s="4">
        <v>75.7420028487497</v>
      </c>
      <c r="B32" s="4">
        <v>199.0936931367403</v>
      </c>
      <c r="C32" s="4">
        <v>54.25542263571534</v>
      </c>
      <c r="D32" s="4">
        <v>9.987171040193884</v>
      </c>
      <c r="E32" s="4">
        <v>4.102857454372505</v>
      </c>
      <c r="F32" s="4">
        <v>10.58101780028101</v>
      </c>
      <c r="G32" s="4">
        <f t="shared" si="1"/>
        <v>0.7032028241</v>
      </c>
      <c r="H32" s="4">
        <v>0.04361384040472759</v>
      </c>
      <c r="I32" s="4">
        <v>-0.7847342274348506</v>
      </c>
      <c r="J32" s="4">
        <v>-0.8420668033582369</v>
      </c>
      <c r="K32" s="4">
        <v>-0.9074520940049825</v>
      </c>
      <c r="L32" s="4">
        <v>-0.4050355151598982</v>
      </c>
      <c r="M32" s="4">
        <v>-0.4407980427655018</v>
      </c>
      <c r="N32" s="4">
        <v>-0.009498369777707032</v>
      </c>
    </row>
    <row r="33" ht="15.75" customHeight="1">
      <c r="A33" s="4">
        <v>83.22094092512135</v>
      </c>
      <c r="B33" s="4">
        <v>128.7817173884609</v>
      </c>
      <c r="C33" s="4">
        <v>52.37345480287859</v>
      </c>
      <c r="D33" s="4">
        <v>8.398834839359523</v>
      </c>
      <c r="E33" s="4">
        <v>3.934664951476575</v>
      </c>
      <c r="F33" s="4">
        <v>11.84678887978718</v>
      </c>
      <c r="G33" s="4">
        <f t="shared" si="1"/>
        <v>0.5625682555</v>
      </c>
      <c r="H33" s="4">
        <v>0.03093750805813493</v>
      </c>
      <c r="I33" s="4">
        <v>-0.8355012770325417</v>
      </c>
      <c r="J33" s="4">
        <v>-0.8731072608356594</v>
      </c>
      <c r="K33" s="4">
        <v>-0.9364986073804181</v>
      </c>
      <c r="L33" s="4">
        <v>-0.2751894379071443</v>
      </c>
      <c r="M33" s="4">
        <v>-0.496666231701904</v>
      </c>
      <c r="N33" s="4">
        <v>-0.0207853550692217</v>
      </c>
    </row>
    <row r="34" ht="15.75" customHeight="1">
      <c r="A34" s="4">
        <v>45.06190211205277</v>
      </c>
      <c r="B34" s="4">
        <v>170.7126827287599</v>
      </c>
      <c r="C34" s="4">
        <v>54.39696923626796</v>
      </c>
      <c r="D34" s="4">
        <v>10.03208452009644</v>
      </c>
      <c r="E34" s="4">
        <v>3.750144572472065</v>
      </c>
      <c r="F34" s="4">
        <v>5.397854760083718</v>
      </c>
      <c r="G34" s="4">
        <f t="shared" si="1"/>
        <v>5.886365864</v>
      </c>
      <c r="H34" s="4">
        <v>0.3053301559403441</v>
      </c>
      <c r="I34" s="4">
        <v>-0.02835151012113613</v>
      </c>
      <c r="J34" s="4">
        <v>-0.4940447828498229</v>
      </c>
      <c r="K34" s="4">
        <v>-0.2612871434995047</v>
      </c>
      <c r="L34" s="4">
        <v>-0.007181606800616771</v>
      </c>
      <c r="M34" s="4">
        <v>-0.211615550940781</v>
      </c>
      <c r="N34" s="4">
        <v>-0.005736555003201349</v>
      </c>
    </row>
    <row r="35" ht="15.75" customHeight="1">
      <c r="A35" s="4">
        <v>50.77271467611402</v>
      </c>
      <c r="B35" s="4">
        <v>126.9130165189259</v>
      </c>
      <c r="C35" s="4">
        <v>53.82628257712005</v>
      </c>
      <c r="D35" s="4">
        <v>10.04949981916073</v>
      </c>
      <c r="E35" s="4">
        <v>4.046554502948266</v>
      </c>
      <c r="F35" s="4">
        <v>6.159842043118587</v>
      </c>
      <c r="G35" s="4">
        <f t="shared" si="1"/>
        <v>5.124378581</v>
      </c>
      <c r="H35" s="4">
        <v>0.1931328274669277</v>
      </c>
      <c r="I35" s="4">
        <v>-0.3158127503588455</v>
      </c>
      <c r="J35" s="4">
        <v>-0.6113811993008051</v>
      </c>
      <c r="K35" s="4">
        <v>-0.5416553160533366</v>
      </c>
      <c r="L35" s="4">
        <v>-0.076191490215389</v>
      </c>
      <c r="M35" s="4">
        <v>-0.2542757190089381</v>
      </c>
      <c r="N35" s="4">
        <v>-0.003023093665608455</v>
      </c>
    </row>
    <row r="36" ht="15.75" customHeight="1">
      <c r="A36" s="4">
        <v>53.34587538603923</v>
      </c>
      <c r="B36" s="4">
        <v>187.0466250899611</v>
      </c>
      <c r="C36" s="4">
        <v>52.06992067913392</v>
      </c>
      <c r="D36" s="4">
        <v>10.03551844584521</v>
      </c>
      <c r="E36" s="4">
        <v>3.80074539048073</v>
      </c>
      <c r="F36" s="4">
        <v>6.521111917889798</v>
      </c>
      <c r="G36" s="4">
        <f t="shared" si="1"/>
        <v>4.763108706</v>
      </c>
      <c r="H36" s="4">
        <v>0.1599454592619386</v>
      </c>
      <c r="I36" s="4">
        <v>-0.4080716758137086</v>
      </c>
      <c r="J36" s="4">
        <v>-0.6519104837999119</v>
      </c>
      <c r="K36" s="4">
        <v>-0.6238939216310151</v>
      </c>
      <c r="L36" s="4">
        <v>-0.0781026835956294</v>
      </c>
      <c r="M36" s="4">
        <v>-0.2734974089384223</v>
      </c>
      <c r="N36" s="4">
        <v>-0.02632151160806765</v>
      </c>
    </row>
    <row r="37" ht="15.75" customHeight="1">
      <c r="A37" s="4">
        <v>135.9474084135532</v>
      </c>
      <c r="B37" s="4">
        <v>193.4042754261309</v>
      </c>
      <c r="C37" s="4">
        <v>52.03756478775663</v>
      </c>
      <c r="D37" s="4">
        <v>12.06854714784246</v>
      </c>
      <c r="E37" s="4">
        <v>4.068844161594964</v>
      </c>
      <c r="F37" s="4">
        <v>20.3284096183652</v>
      </c>
      <c r="G37" s="4">
        <f t="shared" si="1"/>
        <v>9.044188994</v>
      </c>
      <c r="H37" s="4">
        <v>0.006585494308259885</v>
      </c>
      <c r="I37" s="4">
        <v>-0.9542734522132821</v>
      </c>
      <c r="J37" s="4">
        <v>-0.9550983724461405</v>
      </c>
      <c r="K37" s="4">
        <v>-0.9910827692520175</v>
      </c>
      <c r="L37" s="4">
        <v>-0.1445091564290606</v>
      </c>
      <c r="M37" s="4">
        <v>-0.1040488272718977</v>
      </c>
      <c r="N37" s="4">
        <v>-0.02665495437798329</v>
      </c>
    </row>
    <row r="38" ht="15.75" customHeight="1">
      <c r="A38" s="4">
        <v>60.671709025253</v>
      </c>
      <c r="B38" s="4">
        <v>194.9889193281946</v>
      </c>
      <c r="C38" s="4">
        <v>51.17283036575962</v>
      </c>
      <c r="D38" s="4">
        <v>9.172618187477742</v>
      </c>
      <c r="E38" s="4">
        <v>3.905861943025043</v>
      </c>
      <c r="F38" s="4">
        <v>7.49365389906821</v>
      </c>
      <c r="G38" s="4">
        <f t="shared" si="1"/>
        <v>3.790566725</v>
      </c>
      <c r="H38" s="4">
        <v>0.097963514592762</v>
      </c>
      <c r="I38" s="4">
        <v>-0.593868615866176</v>
      </c>
      <c r="J38" s="4">
        <v>-0.7396731982497765</v>
      </c>
      <c r="K38" s="4">
        <v>-0.7752142259032724</v>
      </c>
      <c r="L38" s="4">
        <v>-6.103405355521368E-4</v>
      </c>
      <c r="M38" s="4">
        <v>-0.3282218970532918</v>
      </c>
      <c r="N38" s="4">
        <v>-0.01888737950124745</v>
      </c>
    </row>
    <row r="39" ht="15.75" customHeight="1">
      <c r="A39" s="4">
        <v>54.48930188907174</v>
      </c>
      <c r="B39" s="4">
        <v>190.7569287049988</v>
      </c>
      <c r="C39" s="4">
        <v>51.95700218547549</v>
      </c>
      <c r="D39" s="4">
        <v>10.03551844584521</v>
      </c>
      <c r="E39" s="4">
        <v>4.487663108984203</v>
      </c>
      <c r="F39" s="4">
        <v>6.696462756613026</v>
      </c>
      <c r="G39" s="4">
        <f t="shared" si="1"/>
        <v>4.587757868</v>
      </c>
      <c r="H39" s="4">
        <v>0.1475958445393337</v>
      </c>
      <c r="I39" s="4">
        <v>-0.4436153962245605</v>
      </c>
      <c r="J39" s="4">
        <v>-0.6679810178115674</v>
      </c>
      <c r="K39" s="4">
        <v>-0.6544835240268848</v>
      </c>
      <c r="L39" s="4">
        <v>-0.09188971941562546</v>
      </c>
      <c r="M39" s="4">
        <v>-0.2820388846471369</v>
      </c>
      <c r="N39" s="4">
        <v>-0.0262747111960443</v>
      </c>
    </row>
    <row r="40" ht="15.75" customHeight="1">
      <c r="A40" s="4">
        <v>97.3527400550581</v>
      </c>
      <c r="B40" s="4">
        <v>98.60828234551326</v>
      </c>
      <c r="C40" s="4">
        <v>51.92854374145584</v>
      </c>
      <c r="D40" s="4">
        <v>6.677092871161369</v>
      </c>
      <c r="E40" s="4">
        <v>4.047888038468312</v>
      </c>
      <c r="F40" s="4">
        <v>14.98253789427167</v>
      </c>
      <c r="G40" s="4">
        <f t="shared" si="1"/>
        <v>3.69831727</v>
      </c>
      <c r="H40" s="4">
        <v>0.01788806409152971</v>
      </c>
      <c r="I40" s="4">
        <v>-0.8937477162685159</v>
      </c>
      <c r="J40" s="4">
        <v>-0.9115726636875447</v>
      </c>
      <c r="K40" s="4">
        <v>-0.9660905286866276</v>
      </c>
      <c r="L40" s="4">
        <v>-0.2828915391193469</v>
      </c>
      <c r="M40" s="4">
        <v>-0.6022317566120421</v>
      </c>
      <c r="N40" s="4">
        <v>-0.02593168132403798</v>
      </c>
    </row>
    <row r="41" ht="15.75" customHeight="1">
      <c r="A41" s="4">
        <v>59.31228904343119</v>
      </c>
      <c r="B41" s="4">
        <v>178.0978174186592</v>
      </c>
      <c r="C41" s="4">
        <v>52.29227133857653</v>
      </c>
      <c r="D41" s="4">
        <v>9.18802022156331</v>
      </c>
      <c r="E41" s="4">
        <v>3.958306391751005</v>
      </c>
      <c r="F41" s="4">
        <v>7.260823610299737</v>
      </c>
      <c r="G41" s="4">
        <f t="shared" si="1"/>
        <v>4.023397014</v>
      </c>
      <c r="H41" s="4">
        <v>0.1066038723823823</v>
      </c>
      <c r="I41" s="4">
        <v>-0.5663155355806274</v>
      </c>
      <c r="J41" s="4">
        <v>-0.7260980251233514</v>
      </c>
      <c r="K41" s="4">
        <v>-0.7538867494996924</v>
      </c>
      <c r="L41" s="4">
        <v>-0.002939308480074611</v>
      </c>
      <c r="M41" s="4">
        <v>-0.3180669349968087</v>
      </c>
      <c r="N41" s="4">
        <v>-0.02349219496340886</v>
      </c>
    </row>
    <row r="42" ht="15.75" customHeight="1">
      <c r="A42" s="4">
        <v>91.47954808101387</v>
      </c>
      <c r="B42" s="4">
        <v>155.6707468906363</v>
      </c>
      <c r="C42" s="4">
        <v>52.05587477625968</v>
      </c>
      <c r="D42" s="4">
        <v>6.561682207672158</v>
      </c>
      <c r="E42" s="4">
        <v>3.889967900102864</v>
      </c>
      <c r="F42" s="4">
        <v>13.39603185511943</v>
      </c>
      <c r="G42" s="4">
        <f t="shared" si="1"/>
        <v>2.111811231</v>
      </c>
      <c r="H42" s="4">
        <v>0.02209073472622213</v>
      </c>
      <c r="I42" s="4">
        <v>-0.8739878044856082</v>
      </c>
      <c r="J42" s="4">
        <v>-0.8981754455820994</v>
      </c>
      <c r="K42" s="4">
        <v>-0.9565071672425614</v>
      </c>
      <c r="L42" s="4">
        <v>-0.07121422224076815</v>
      </c>
      <c r="M42" s="4">
        <v>-0.5583586030286055</v>
      </c>
      <c r="N42" s="4">
        <v>-0.02650023968960707</v>
      </c>
    </row>
    <row r="43" ht="15.75" customHeight="1">
      <c r="A43" s="4">
        <v>94.70883832386315</v>
      </c>
      <c r="B43" s="4">
        <v>170.0927775164067</v>
      </c>
      <c r="C43" s="4">
        <v>52.03954902292871</v>
      </c>
      <c r="D43" s="4">
        <v>6.288859278063654</v>
      </c>
      <c r="E43" s="4">
        <v>3.9105098784771</v>
      </c>
      <c r="F43" s="4">
        <v>14.170609957451</v>
      </c>
      <c r="G43" s="4">
        <f t="shared" si="1"/>
        <v>2.886389333</v>
      </c>
      <c r="H43" s="4">
        <v>0.01960617756573623</v>
      </c>
      <c r="I43" s="4">
        <v>-0.8855044011035795</v>
      </c>
      <c r="J43" s="4">
        <v>-0.9059515791593553</v>
      </c>
      <c r="K43" s="4">
        <v>-0.9621425203105058</v>
      </c>
      <c r="L43" s="4">
        <v>-0.1013380350662231</v>
      </c>
      <c r="M43" s="4">
        <v>-0.5824816263209057</v>
      </c>
      <c r="N43" s="4">
        <v>-0.02668054395037273</v>
      </c>
    </row>
    <row r="44" ht="15.75" customHeight="1">
      <c r="A44" s="4">
        <v>45.56124420786868</v>
      </c>
      <c r="B44" s="4">
        <v>190.7263375801372</v>
      </c>
      <c r="C44" s="4">
        <v>52.05059036521438</v>
      </c>
      <c r="D44" s="4">
        <v>10.19209955593169</v>
      </c>
      <c r="E44" s="4">
        <v>3.592574818245247</v>
      </c>
      <c r="F44" s="4">
        <v>5.479084053955147</v>
      </c>
      <c r="G44" s="4">
        <f t="shared" si="1"/>
        <v>5.80513657</v>
      </c>
      <c r="H44" s="4">
        <v>0.2928328754506968</v>
      </c>
      <c r="I44" s="4">
        <v>-0.05915660214579215</v>
      </c>
      <c r="J44" s="4">
        <v>-0.5060463243432561</v>
      </c>
      <c r="K44" s="4">
        <v>-0.2931432088696356</v>
      </c>
      <c r="L44" s="4">
        <v>-0.001743799136627829</v>
      </c>
      <c r="M44" s="4">
        <v>-0.2153456712156204</v>
      </c>
      <c r="N44" s="4">
        <v>-0.0265674815505722</v>
      </c>
    </row>
    <row r="45" ht="15.75" customHeight="1">
      <c r="A45" s="4">
        <v>66.67903227543648</v>
      </c>
      <c r="B45" s="4">
        <v>167.5698699380517</v>
      </c>
      <c r="C45" s="4">
        <v>52.3199309554589</v>
      </c>
      <c r="D45" s="4">
        <v>8.778356575116414</v>
      </c>
      <c r="E45" s="4">
        <v>3.599152945339169</v>
      </c>
      <c r="F45" s="4">
        <v>8.460887046057385</v>
      </c>
      <c r="G45" s="4">
        <f t="shared" si="1"/>
        <v>2.823333578</v>
      </c>
      <c r="H45" s="4">
        <v>0.06885753551484113</v>
      </c>
      <c r="I45" s="4">
        <v>-0.6910575371146878</v>
      </c>
      <c r="J45" s="4">
        <v>-0.7898500757365048</v>
      </c>
      <c r="K45" s="4">
        <v>-0.8459163406711386</v>
      </c>
      <c r="L45" s="4">
        <v>-0.0402769615563193</v>
      </c>
      <c r="M45" s="4">
        <v>-0.3730970206224544</v>
      </c>
      <c r="N45" s="4">
        <v>-0.02283075386715938</v>
      </c>
    </row>
    <row r="46" ht="15.75" customHeight="1">
      <c r="A46" s="4">
        <v>89.07690207946423</v>
      </c>
      <c r="B46" s="4">
        <v>159.8671401200869</v>
      </c>
      <c r="C46" s="4">
        <v>52.69298285381421</v>
      </c>
      <c r="D46" s="4">
        <v>7.189993060364896</v>
      </c>
      <c r="E46" s="4">
        <v>3.537422838098586</v>
      </c>
      <c r="F46" s="4">
        <v>12.96157771590383</v>
      </c>
      <c r="G46" s="4">
        <f t="shared" si="1"/>
        <v>1.677357092</v>
      </c>
      <c r="H46" s="4">
        <v>0.02427637377164753</v>
      </c>
      <c r="I46" s="4">
        <v>-0.8642053807240785</v>
      </c>
      <c r="J46" s="4">
        <v>-0.8916432788612667</v>
      </c>
      <c r="K46" s="4">
        <v>-0.9516213976017915</v>
      </c>
      <c r="L46" s="4">
        <v>-0.1720982573927458</v>
      </c>
      <c r="M46" s="4">
        <v>-0.5404106698606674</v>
      </c>
      <c r="N46" s="4">
        <v>-0.008298926604449083</v>
      </c>
    </row>
    <row r="47" ht="15.75" customHeight="1">
      <c r="A47" s="4">
        <v>54.62140699897245</v>
      </c>
      <c r="B47" s="4">
        <v>199.0479731813883</v>
      </c>
      <c r="C47" s="4">
        <v>51.93079996133705</v>
      </c>
      <c r="D47" s="4">
        <v>9.971758929619917</v>
      </c>
      <c r="E47" s="4">
        <v>4.445342112058293</v>
      </c>
      <c r="F47" s="4">
        <v>6.699350007781425</v>
      </c>
      <c r="G47" s="4">
        <f t="shared" si="1"/>
        <v>4.584870617</v>
      </c>
      <c r="H47" s="4">
        <v>0.1461718635359765</v>
      </c>
      <c r="I47" s="4">
        <v>-0.4476442218975929</v>
      </c>
      <c r="J47" s="4">
        <v>-0.6698445033151885</v>
      </c>
      <c r="K47" s="4">
        <v>-0.6578140254181066</v>
      </c>
      <c r="L47" s="4">
        <v>-0.08166797361117752</v>
      </c>
      <c r="M47" s="4">
        <v>-0.2830257190297766</v>
      </c>
      <c r="N47" s="4">
        <v>-0.02595887714741288</v>
      </c>
    </row>
    <row r="48" ht="15.75" customHeight="1">
      <c r="A48" s="4">
        <v>94.70883832386315</v>
      </c>
      <c r="B48" s="4">
        <v>170.0927775164067</v>
      </c>
      <c r="C48" s="4">
        <v>52.03954902292871</v>
      </c>
      <c r="D48" s="4">
        <v>6.288859278063654</v>
      </c>
      <c r="E48" s="4">
        <v>3.911007306842937</v>
      </c>
      <c r="F48" s="4">
        <v>14.170609957451</v>
      </c>
      <c r="G48" s="4">
        <f t="shared" si="1"/>
        <v>2.886389333</v>
      </c>
      <c r="H48" s="4">
        <v>0.01960617756573623</v>
      </c>
      <c r="I48" s="4">
        <v>-0.8855044011035795</v>
      </c>
      <c r="J48" s="4">
        <v>-0.9059515791593553</v>
      </c>
      <c r="K48" s="4">
        <v>-0.9621425203105058</v>
      </c>
      <c r="L48" s="4">
        <v>-0.1013380350662231</v>
      </c>
      <c r="M48" s="4">
        <v>-0.5824816263209057</v>
      </c>
      <c r="N48" s="4">
        <v>-0.02668054395037273</v>
      </c>
    </row>
    <row r="49" ht="15.75" customHeight="1">
      <c r="A49" s="4">
        <v>73.35710367020184</v>
      </c>
      <c r="B49" s="4">
        <v>179.7186792702429</v>
      </c>
      <c r="C49" s="4">
        <v>52.02250140869791</v>
      </c>
      <c r="D49" s="4">
        <v>9.795134724807276</v>
      </c>
      <c r="E49" s="4">
        <v>4.166832802577285</v>
      </c>
      <c r="F49" s="4">
        <v>10.02409238833598</v>
      </c>
      <c r="G49" s="4">
        <f t="shared" si="1"/>
        <v>1.260128236</v>
      </c>
      <c r="H49" s="4">
        <v>0.04889644090012003</v>
      </c>
      <c r="I49" s="4">
        <v>-0.7643424514292093</v>
      </c>
      <c r="J49" s="4">
        <v>-0.8302486084428062</v>
      </c>
      <c r="K49" s="4">
        <v>-0.8948171260314927</v>
      </c>
      <c r="L49" s="4">
        <v>-0.3207766252683787</v>
      </c>
      <c r="M49" s="4">
        <v>-0.4229826796028717</v>
      </c>
      <c r="N49" s="4">
        <v>-0.02669566069906831</v>
      </c>
    </row>
    <row r="50" ht="15.75" customHeight="1">
      <c r="A50" s="4">
        <v>73.7153629111337</v>
      </c>
      <c r="B50" s="4">
        <v>199.0479731813883</v>
      </c>
      <c r="C50" s="4">
        <v>51.93074859650105</v>
      </c>
      <c r="D50" s="4">
        <v>9.929337832443146</v>
      </c>
      <c r="E50" s="4">
        <v>4.010937778929263</v>
      </c>
      <c r="F50" s="4">
        <v>10.12748782740866</v>
      </c>
      <c r="G50" s="4">
        <f t="shared" si="1"/>
        <v>1.156732797</v>
      </c>
      <c r="H50" s="4">
        <v>0.04807315277077553</v>
      </c>
      <c r="I50" s="4">
        <v>-0.7675290019863301</v>
      </c>
      <c r="J50" s="4">
        <v>-0.8320632858478504</v>
      </c>
      <c r="K50" s="4">
        <v>-0.8968470375704889</v>
      </c>
      <c r="L50" s="4">
        <v>-0.3428497229746356</v>
      </c>
      <c r="M50" s="4">
        <v>-0.4256589011140282</v>
      </c>
      <c r="N50" s="4">
        <v>-0.02595825801050135</v>
      </c>
    </row>
    <row r="51" ht="15.75" customHeight="1">
      <c r="A51" s="4">
        <v>50.19649790914451</v>
      </c>
      <c r="B51" s="4">
        <v>199.4728064616249</v>
      </c>
      <c r="C51" s="4">
        <v>51.93074859650105</v>
      </c>
      <c r="D51" s="4">
        <v>9.97199705783514</v>
      </c>
      <c r="E51" s="4">
        <v>4.288503143472562</v>
      </c>
      <c r="F51" s="4">
        <v>6.048523889110475</v>
      </c>
      <c r="G51" s="4">
        <f t="shared" si="1"/>
        <v>5.235696735</v>
      </c>
      <c r="H51" s="4">
        <v>0.2015494105008842</v>
      </c>
      <c r="I51" s="4">
        <v>-0.2927788823637391</v>
      </c>
      <c r="J51" s="4">
        <v>-0.6015647403908854</v>
      </c>
      <c r="K51" s="4">
        <v>-0.5202443889687581</v>
      </c>
      <c r="L51" s="4">
        <v>-0.01981942207877388</v>
      </c>
      <c r="M51" s="4">
        <v>-0.2499713395801151</v>
      </c>
      <c r="N51" s="4">
        <v>-0.02595825801050135</v>
      </c>
    </row>
    <row r="52" ht="15.75" customHeight="1">
      <c r="F52" s="4">
        <f>AVERAGE(F2:F51)</f>
        <v>11.28422062</v>
      </c>
      <c r="G52" s="4">
        <f>SMALL(G2:G51,1)</f>
        <v>0.03900556789</v>
      </c>
    </row>
    <row r="53" ht="15.75" customHeight="1">
      <c r="F53" s="4">
        <f>SMALL(F2:F51,1)</f>
        <v>5.368451304</v>
      </c>
    </row>
    <row r="54" ht="15.75" customHeight="1">
      <c r="F54" s="4">
        <f>LARGE(F2:F51,1)</f>
        <v>23.56220124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2026-08-29T01:39:28Z</dcterms:created>
  <dc:creator>openpyxl</dc:creator>
</cp:coreProperties>
</file>