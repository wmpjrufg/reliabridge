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</sheets>
  <definedNames/>
  <calcPr/>
  <extLst>
    <ext uri="GoogleSheetsCustomDataVersion2">
      <go:sheetsCustomData xmlns:go="http://customooxmlschemas.google.com/" r:id="rId5" roundtripDataChecksum="IYxShm5PwA/BDPOuROk8nfOOdrXSzbG9H9mPdT8wTjU="/>
    </ext>
  </extLst>
</workbook>
</file>

<file path=xl/sharedStrings.xml><?xml version="1.0" encoding="utf-8"?>
<sst xmlns="http://schemas.openxmlformats.org/spreadsheetml/2006/main" count="13" uniqueCount="13">
  <si>
    <t>d_cm</t>
  </si>
  <si>
    <t>esp_cm</t>
  </si>
  <si>
    <t>bw_cm</t>
  </si>
  <si>
    <t>h_cm</t>
  </si>
  <si>
    <t>esp_tab_cm</t>
  </si>
  <si>
    <t>of_volume_m3</t>
  </si>
  <si>
    <t>of_fator_flecha</t>
  </si>
  <si>
    <t>longarina_g_m</t>
  </si>
  <si>
    <t>longarina_g_v</t>
  </si>
  <si>
    <t>longarina_g_f</t>
  </si>
  <si>
    <t>tabuleiro_g_m</t>
  </si>
  <si>
    <t>longarina_g_esp</t>
  </si>
  <si>
    <t>tabuleiro_g_esp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</si>
</sst>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0" fontId="2" numFmtId="0" xfId="0" applyFont="1"/>
    <xf borderId="0" fillId="3" fontId="2" numFmtId="0" xfId="0" applyFill="1" applyFont="1"/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2.29"/>
    <col customWidth="1" min="6" max="6" width="14.29"/>
    <col customWidth="1" min="7" max="8" width="15.43"/>
    <col customWidth="1" min="9" max="9" width="15.0"/>
    <col customWidth="1" min="10" max="11" width="14.0"/>
    <col customWidth="1" min="12" max="12" width="16.14"/>
    <col customWidth="1" min="13" max="13" width="15.43"/>
    <col customWidth="1" min="14" max="14" width="17.14"/>
    <col customWidth="1" min="15" max="15" width="8.71"/>
    <col customWidth="1" min="16" max="16" width="16.14"/>
    <col customWidth="1" min="17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A2" s="2">
        <v>56.63143703042871</v>
      </c>
      <c r="B2" s="2">
        <v>169.118800544482</v>
      </c>
      <c r="C2" s="2">
        <v>52.06156388787342</v>
      </c>
      <c r="D2" s="2">
        <v>13.29241389451035</v>
      </c>
      <c r="E2" s="2">
        <v>4.640593235916917</v>
      </c>
      <c r="F2" s="2">
        <v>7.847923138902379</v>
      </c>
      <c r="G2" s="2">
        <f t="shared" ref="G2:G51" si="1">ABS(F2-$F$52)</f>
        <v>5.06957332</v>
      </c>
      <c r="H2" s="2">
        <v>0.1746877928195852</v>
      </c>
      <c r="I2" s="2">
        <v>-0.0265027647341678</v>
      </c>
      <c r="J2" s="2">
        <v>-0.5541383200463009</v>
      </c>
      <c r="K2" s="2">
        <v>-0.570610509348774</v>
      </c>
      <c r="L2" s="2">
        <v>-0.001033337958184963</v>
      </c>
      <c r="M2" s="2">
        <v>-0.2980407835240291</v>
      </c>
      <c r="N2" s="2">
        <v>-0.0264278481877228</v>
      </c>
      <c r="P2" s="3">
        <f>LARGE(I2:N3,1)</f>
        <v>-0.001033337958</v>
      </c>
    </row>
    <row r="3">
      <c r="A3" s="4">
        <v>149.9939455149161</v>
      </c>
      <c r="B3" s="4">
        <v>138.2739285685825</v>
      </c>
      <c r="C3" s="4">
        <v>52.26149726182152</v>
      </c>
      <c r="D3" s="4">
        <v>14.97825275087838</v>
      </c>
      <c r="E3" s="4">
        <v>4.087641059786637</v>
      </c>
      <c r="F3" s="4">
        <v>24.83467348436814</v>
      </c>
      <c r="G3" s="4">
        <f t="shared" si="1"/>
        <v>11.91717703</v>
      </c>
      <c r="H3" s="4">
        <v>0.005732139043875721</v>
      </c>
      <c r="I3" s="4">
        <v>-0.9357587795551933</v>
      </c>
      <c r="J3" s="4">
        <v>-0.9551527613051033</v>
      </c>
      <c r="K3" s="4">
        <v>-0.9912745703293714</v>
      </c>
      <c r="L3" s="4">
        <v>-0.1265313412423064</v>
      </c>
      <c r="M3" s="4">
        <v>-0.2439536427537317</v>
      </c>
      <c r="N3" s="4">
        <v>-0.02388378187304567</v>
      </c>
    </row>
    <row r="4">
      <c r="A4" s="3">
        <v>140.9751048436736</v>
      </c>
      <c r="B4" s="3">
        <v>166.2658860409979</v>
      </c>
      <c r="C4" s="3">
        <v>48.76221019783299</v>
      </c>
      <c r="D4" s="3">
        <v>15.89632520868916</v>
      </c>
      <c r="E4" s="3">
        <v>3.673141056189774</v>
      </c>
      <c r="F4" s="3">
        <v>22.59679265427067</v>
      </c>
      <c r="G4" s="3">
        <f t="shared" si="1"/>
        <v>9.679296195</v>
      </c>
      <c r="H4" s="3">
        <v>0.007052652930926253</v>
      </c>
      <c r="I4" s="3">
        <v>-0.9241201967005923</v>
      </c>
      <c r="J4" s="3">
        <v>-0.9474547343513015</v>
      </c>
      <c r="K4" s="3">
        <v>-0.9888181919173463</v>
      </c>
      <c r="L4" s="3">
        <v>-0.02786518914625269</v>
      </c>
      <c r="M4" s="3">
        <v>-0.1541251511571936</v>
      </c>
      <c r="N4" s="3">
        <v>-0.07582667584279353</v>
      </c>
    </row>
    <row r="5">
      <c r="A5" s="3">
        <v>132.669473419317</v>
      </c>
      <c r="B5" s="3">
        <v>178.0132214107924</v>
      </c>
      <c r="C5" s="3">
        <v>48.65983835198855</v>
      </c>
      <c r="D5" s="3">
        <v>16.88523170228179</v>
      </c>
      <c r="E5" s="3">
        <v>4.584542103149468</v>
      </c>
      <c r="F5" s="3">
        <v>20.72254082142819</v>
      </c>
      <c r="G5" s="3">
        <f t="shared" si="1"/>
        <v>7.805044362</v>
      </c>
      <c r="H5" s="3">
        <v>0.008688098031378395</v>
      </c>
      <c r="I5" s="3">
        <v>-0.9104168917223734</v>
      </c>
      <c r="J5" s="3">
        <v>-0.9385601242091487</v>
      </c>
      <c r="K5" s="3">
        <v>-0.985743998988143</v>
      </c>
      <c r="L5" s="3">
        <v>-0.0205604063690508</v>
      </c>
      <c r="M5" s="3">
        <v>-0.07140028996902296</v>
      </c>
      <c r="N5" s="3">
        <v>-0.07120639878665308</v>
      </c>
    </row>
    <row r="6">
      <c r="A6" s="3">
        <v>61.97619931555866</v>
      </c>
      <c r="B6" s="3">
        <v>129.7357040487945</v>
      </c>
      <c r="C6" s="3">
        <v>52.09415652763347</v>
      </c>
      <c r="D6" s="3">
        <v>12.76184307828902</v>
      </c>
      <c r="E6" s="3">
        <v>4.253024106285409</v>
      </c>
      <c r="F6" s="3">
        <v>8.605949046546653</v>
      </c>
      <c r="G6" s="3">
        <f t="shared" si="1"/>
        <v>4.311547412</v>
      </c>
      <c r="H6" s="3">
        <v>0.123304560207061</v>
      </c>
      <c r="I6" s="3">
        <v>-0.2538557089039705</v>
      </c>
      <c r="J6" s="3">
        <v>-0.6379133561326852</v>
      </c>
      <c r="K6" s="3">
        <v>-0.7006481265818371</v>
      </c>
      <c r="L6" s="3">
        <v>-0.008004224556897747</v>
      </c>
      <c r="M6" s="3">
        <v>-0.3379665304839052</v>
      </c>
      <c r="N6" s="3">
        <v>-0.02601312084489578</v>
      </c>
    </row>
    <row r="7">
      <c r="A7" s="3">
        <v>100.781354787085</v>
      </c>
      <c r="B7" s="3">
        <v>107.5365517662519</v>
      </c>
      <c r="C7" s="3">
        <v>48.99057774556899</v>
      </c>
      <c r="D7" s="3">
        <v>8.14533270250496</v>
      </c>
      <c r="E7" s="3">
        <v>3.460332885405512</v>
      </c>
      <c r="F7" s="3">
        <v>16.30836436083576</v>
      </c>
      <c r="G7" s="3">
        <f t="shared" si="1"/>
        <v>3.390867902</v>
      </c>
      <c r="H7" s="3">
        <v>0.0202599826703562</v>
      </c>
      <c r="I7" s="3">
        <v>-0.8168948169993387</v>
      </c>
      <c r="J7" s="3">
        <v>-0.8869818416436055</v>
      </c>
      <c r="K7" s="3">
        <v>-0.9571884481899563</v>
      </c>
      <c r="L7" s="3">
        <v>-0.1304916238602503</v>
      </c>
      <c r="M7" s="3">
        <v>-0.6278437477373839</v>
      </c>
      <c r="N7" s="3">
        <v>-0.09025959883272282</v>
      </c>
    </row>
    <row r="8">
      <c r="A8" s="3">
        <v>72.26664266354169</v>
      </c>
      <c r="B8" s="3">
        <v>132.1107265375347</v>
      </c>
      <c r="C8" s="3">
        <v>54.22408516643387</v>
      </c>
      <c r="D8" s="3">
        <v>11.32493058873915</v>
      </c>
      <c r="E8" s="3">
        <v>4.866861316114719</v>
      </c>
      <c r="F8" s="3">
        <v>10.19642675114995</v>
      </c>
      <c r="G8" s="3">
        <f t="shared" si="1"/>
        <v>2.721069708</v>
      </c>
      <c r="H8" s="3">
        <v>0.0685573706176829</v>
      </c>
      <c r="I8" s="3">
        <v>-0.5245023168090301</v>
      </c>
      <c r="J8" s="3">
        <v>-0.7475448279259653</v>
      </c>
      <c r="K8" s="3">
        <v>-0.8380689158918891</v>
      </c>
      <c r="L8" s="3">
        <v>-0.003335424486675106</v>
      </c>
      <c r="M8" s="3">
        <v>-0.4148368598453394</v>
      </c>
      <c r="N8" s="3">
        <v>-0.009608401894224797</v>
      </c>
    </row>
    <row r="9">
      <c r="A9" s="3">
        <v>97.66548881820877</v>
      </c>
      <c r="B9" s="3">
        <v>107.4268840865774</v>
      </c>
      <c r="C9" s="3">
        <v>54.13273470761296</v>
      </c>
      <c r="D9" s="3">
        <v>8.359136259399053</v>
      </c>
      <c r="E9" s="3">
        <v>4.267732135240157</v>
      </c>
      <c r="F9" s="3">
        <v>15.50549675394255</v>
      </c>
      <c r="G9" s="3">
        <f t="shared" si="1"/>
        <v>2.588000295</v>
      </c>
      <c r="H9" s="3">
        <v>0.02264362783465922</v>
      </c>
      <c r="I9" s="3">
        <v>-0.799965175553326</v>
      </c>
      <c r="J9" s="3">
        <v>-0.8779300702005493</v>
      </c>
      <c r="K9" s="3">
        <v>-0.9514580490844062</v>
      </c>
      <c r="L9" s="3">
        <v>-0.1342486519891289</v>
      </c>
      <c r="M9" s="3">
        <v>-0.6045680116807302</v>
      </c>
      <c r="N9" s="3">
        <v>-0.01153537345584589</v>
      </c>
    </row>
    <row r="10">
      <c r="A10" s="3">
        <v>81.49811376146977</v>
      </c>
      <c r="B10" s="3">
        <v>118.8313022053411</v>
      </c>
      <c r="C10" s="3">
        <v>48.07899695050465</v>
      </c>
      <c r="D10" s="3">
        <v>10.90390751976056</v>
      </c>
      <c r="E10" s="3">
        <v>3.896195797205084</v>
      </c>
      <c r="F10" s="3">
        <v>12.08398057908125</v>
      </c>
      <c r="G10" s="3">
        <f t="shared" si="1"/>
        <v>0.8335158799</v>
      </c>
      <c r="H10" s="3">
        <v>0.04383058821061393</v>
      </c>
      <c r="I10" s="3">
        <v>-0.6642088177406891</v>
      </c>
      <c r="J10" s="3">
        <v>-0.8102711117926511</v>
      </c>
      <c r="K10" s="3">
        <v>-0.89988676161326</v>
      </c>
      <c r="L10" s="3">
        <v>-0.02062454577759177</v>
      </c>
      <c r="M10" s="3">
        <v>-0.4837965926567912</v>
      </c>
      <c r="N10" s="3">
        <v>-0.07332706148622008</v>
      </c>
    </row>
    <row r="11">
      <c r="A11" s="3">
        <v>107.9687825898539</v>
      </c>
      <c r="B11" s="3">
        <v>109.5334375185125</v>
      </c>
      <c r="C11" s="3">
        <v>49.59911502291608</v>
      </c>
      <c r="D11" s="3">
        <v>7.208921703872102</v>
      </c>
      <c r="E11" s="3">
        <v>4.472065731632055</v>
      </c>
      <c r="F11" s="3">
        <v>18.18949374802211</v>
      </c>
      <c r="G11" s="3">
        <f t="shared" si="1"/>
        <v>5.271997289</v>
      </c>
      <c r="H11" s="3">
        <v>0.01591286345019794</v>
      </c>
      <c r="I11" s="3">
        <v>-0.849000725272692</v>
      </c>
      <c r="J11" s="3">
        <v>-0.9046658136566705</v>
      </c>
      <c r="K11" s="3">
        <v>-0.9674995839108997</v>
      </c>
      <c r="L11" s="3">
        <v>-0.3035839109311557</v>
      </c>
      <c r="M11" s="3">
        <v>-0.6815343346029793</v>
      </c>
      <c r="N11" s="3">
        <v>-0.1039698895113155</v>
      </c>
    </row>
    <row r="12">
      <c r="A12" s="3">
        <v>69.77997083125993</v>
      </c>
      <c r="B12" s="3">
        <v>159.9578156286387</v>
      </c>
      <c r="C12" s="3">
        <v>52.2462903326638</v>
      </c>
      <c r="D12" s="3">
        <v>12.26219030720817</v>
      </c>
      <c r="E12" s="3">
        <v>4.241824085506996</v>
      </c>
      <c r="F12" s="3">
        <v>9.931982372788777</v>
      </c>
      <c r="G12" s="3">
        <f t="shared" si="1"/>
        <v>2.985514086</v>
      </c>
      <c r="H12" s="3">
        <v>0.07849479617529238</v>
      </c>
      <c r="I12" s="3">
        <v>-0.4727731191206054</v>
      </c>
      <c r="J12" s="3">
        <v>-0.7254177531594801</v>
      </c>
      <c r="K12" s="3">
        <v>-0.8137232703260618</v>
      </c>
      <c r="L12" s="3">
        <v>-0.07196205429805784</v>
      </c>
      <c r="M12" s="3">
        <v>-0.3962612478627161</v>
      </c>
      <c r="N12" s="3">
        <v>-0.02407728351539692</v>
      </c>
    </row>
    <row r="13">
      <c r="A13" s="3">
        <v>76.04809233378946</v>
      </c>
      <c r="B13" s="3">
        <v>107.8024843934008</v>
      </c>
      <c r="C13" s="3">
        <v>53.76223898987931</v>
      </c>
      <c r="D13" s="3">
        <v>10.9371971205075</v>
      </c>
      <c r="E13" s="3">
        <v>3.914437790108664</v>
      </c>
      <c r="F13" s="3">
        <v>10.87944378788847</v>
      </c>
      <c r="G13" s="3">
        <f t="shared" si="1"/>
        <v>2.038052671</v>
      </c>
      <c r="H13" s="3">
        <v>0.05659473936963682</v>
      </c>
      <c r="I13" s="3">
        <v>-0.5900669470081747</v>
      </c>
      <c r="J13" s="3">
        <v>-0.7763412746064169</v>
      </c>
      <c r="K13" s="3">
        <v>-0.8679530294363236</v>
      </c>
      <c r="L13" s="3">
        <v>-0.007090401529958423</v>
      </c>
      <c r="M13" s="3">
        <v>-0.4430845525623503</v>
      </c>
      <c r="N13" s="3">
        <v>-1.903691858039328E-4</v>
      </c>
    </row>
    <row r="14">
      <c r="A14" s="3">
        <v>84.20244133743182</v>
      </c>
      <c r="B14" s="3">
        <v>119.0248211627475</v>
      </c>
      <c r="C14" s="3">
        <v>47.14913819212945</v>
      </c>
      <c r="D14" s="3">
        <v>10.64982181724064</v>
      </c>
      <c r="E14" s="3">
        <v>4.591018277820191</v>
      </c>
      <c r="F14" s="3">
        <v>12.61926065598304</v>
      </c>
      <c r="G14" s="3">
        <f t="shared" si="1"/>
        <v>0.298235803</v>
      </c>
      <c r="H14" s="3">
        <v>0.03884360255993118</v>
      </c>
      <c r="I14" s="3">
        <v>-0.6943820322104507</v>
      </c>
      <c r="J14" s="3">
        <v>-0.824641199609912</v>
      </c>
      <c r="K14" s="3">
        <v>-0.9121416576302345</v>
      </c>
      <c r="L14" s="3">
        <v>-0.02597542091805082</v>
      </c>
      <c r="M14" s="3">
        <v>-0.5039981082218284</v>
      </c>
      <c r="N14" s="3">
        <v>-0.07379083953055246</v>
      </c>
    </row>
    <row r="15">
      <c r="A15" s="3">
        <v>116.3083444946443</v>
      </c>
      <c r="B15" s="3">
        <v>117.5699259609502</v>
      </c>
      <c r="C15" s="3">
        <v>53.98384546293585</v>
      </c>
      <c r="D15" s="3">
        <v>5.188304853865325</v>
      </c>
      <c r="E15" s="3">
        <v>4.855179033408095</v>
      </c>
      <c r="F15" s="3">
        <v>20.2958887846436</v>
      </c>
      <c r="G15" s="3">
        <f t="shared" si="1"/>
        <v>7.378392326</v>
      </c>
      <c r="H15" s="3">
        <v>0.01230449197530143</v>
      </c>
      <c r="I15" s="3">
        <v>-0.8771543389568397</v>
      </c>
      <c r="J15" s="3">
        <v>-0.9208242280774201</v>
      </c>
      <c r="K15" s="3">
        <v>-0.9758655035205269</v>
      </c>
      <c r="L15" s="3">
        <v>-0.5863297492757157</v>
      </c>
      <c r="M15" s="3">
        <v>-0.6517462914073635</v>
      </c>
      <c r="N15" s="3">
        <v>-0.01069667231765884</v>
      </c>
    </row>
    <row r="16">
      <c r="A16" s="3">
        <v>64.8679240473768</v>
      </c>
      <c r="B16" s="3">
        <v>118.7226802439084</v>
      </c>
      <c r="C16" s="3">
        <v>51.99329045262789</v>
      </c>
      <c r="D16" s="3">
        <v>12.57203249475906</v>
      </c>
      <c r="E16" s="3">
        <v>4.267112431541329</v>
      </c>
      <c r="F16" s="3">
        <v>9.076507056888547</v>
      </c>
      <c r="G16" s="3">
        <f t="shared" si="1"/>
        <v>3.840989402</v>
      </c>
      <c r="H16" s="3">
        <v>0.1035678912994502</v>
      </c>
      <c r="I16" s="3">
        <v>-0.3473248724122919</v>
      </c>
      <c r="J16" s="3">
        <v>-0.674296637629001</v>
      </c>
      <c r="K16" s="3">
        <v>-0.7505625024274595</v>
      </c>
      <c r="L16" s="3">
        <v>-0.02664626015783182</v>
      </c>
      <c r="M16" s="3">
        <v>-0.3595679158703798</v>
      </c>
      <c r="N16" s="3">
        <v>-0.02671211949665317</v>
      </c>
    </row>
    <row r="17">
      <c r="A17" s="3">
        <v>93.95401888372247</v>
      </c>
      <c r="B17" s="3">
        <v>128.0019495975444</v>
      </c>
      <c r="C17" s="3">
        <v>52.04798127179173</v>
      </c>
      <c r="D17" s="3">
        <v>8.582322386234516</v>
      </c>
      <c r="E17" s="3">
        <v>4.451381689458997</v>
      </c>
      <c r="F17" s="3">
        <v>14.54840073768161</v>
      </c>
      <c r="G17" s="3">
        <f t="shared" si="1"/>
        <v>1.630904279</v>
      </c>
      <c r="H17" s="3">
        <v>0.02599329680607209</v>
      </c>
      <c r="I17" s="3">
        <v>-0.776827490642241</v>
      </c>
      <c r="J17" s="3">
        <v>-0.8658350454949292</v>
      </c>
      <c r="K17" s="3">
        <v>-0.9433212463205313</v>
      </c>
      <c r="L17" s="3">
        <v>-0.0069500977911708</v>
      </c>
      <c r="M17" s="3">
        <v>-0.5768430724695401</v>
      </c>
      <c r="N17" s="3">
        <v>-0.02660068114380351</v>
      </c>
    </row>
    <row r="18">
      <c r="A18" s="3">
        <v>79.81603944227638</v>
      </c>
      <c r="B18" s="3">
        <v>107.8024843934008</v>
      </c>
      <c r="C18" s="3">
        <v>52.17308593199377</v>
      </c>
      <c r="D18" s="3">
        <v>10.9371971205075</v>
      </c>
      <c r="E18" s="3">
        <v>3.679572539864051</v>
      </c>
      <c r="F18" s="3">
        <v>11.70018754246783</v>
      </c>
      <c r="G18" s="3">
        <f t="shared" si="1"/>
        <v>1.217308917</v>
      </c>
      <c r="H18" s="3">
        <v>0.0473249456506156</v>
      </c>
      <c r="I18" s="3">
        <v>-0.6434507176182606</v>
      </c>
      <c r="J18" s="3">
        <v>-0.8006000768727127</v>
      </c>
      <c r="K18" s="3">
        <v>-0.8911769124257075</v>
      </c>
      <c r="L18" s="3">
        <v>-0.06385285196612568</v>
      </c>
      <c r="M18" s="3">
        <v>-0.4712313802014746</v>
      </c>
      <c r="N18" s="3">
        <v>-0.02500877807357452</v>
      </c>
    </row>
    <row r="19">
      <c r="A19" s="3">
        <v>114.1620522453891</v>
      </c>
      <c r="B19" s="3">
        <v>120.2817026540711</v>
      </c>
      <c r="C19" s="3">
        <v>43.37388113891137</v>
      </c>
      <c r="D19" s="3">
        <v>5.231899676714201</v>
      </c>
      <c r="E19" s="3">
        <v>4.853081758909195</v>
      </c>
      <c r="F19" s="3">
        <v>19.59476122774684</v>
      </c>
      <c r="G19" s="3">
        <f t="shared" si="1"/>
        <v>6.677264769</v>
      </c>
      <c r="H19" s="3">
        <v>0.01310272023882825</v>
      </c>
      <c r="I19" s="3">
        <v>-0.8707290306728449</v>
      </c>
      <c r="J19" s="3">
        <v>-0.9171062949757248</v>
      </c>
      <c r="K19" s="3">
        <v>-0.9739987234922245</v>
      </c>
      <c r="L19" s="3">
        <v>-0.2369928486840141</v>
      </c>
      <c r="M19" s="3">
        <v>-0.6948975034313584</v>
      </c>
      <c r="N19" s="3">
        <v>-0.1246147469620767</v>
      </c>
    </row>
    <row r="20">
      <c r="A20" s="3">
        <v>63.64678525149385</v>
      </c>
      <c r="B20" s="3">
        <v>123.3400939264293</v>
      </c>
      <c r="C20" s="3">
        <v>53.88369479010365</v>
      </c>
      <c r="D20" s="3">
        <v>12.43523065372042</v>
      </c>
      <c r="E20" s="3">
        <v>4.610966502218658</v>
      </c>
      <c r="F20" s="3">
        <v>8.833898543243574</v>
      </c>
      <c r="G20" s="3">
        <f t="shared" si="1"/>
        <v>4.083597916</v>
      </c>
      <c r="H20" s="3">
        <v>0.1112741487960234</v>
      </c>
      <c r="I20" s="3">
        <v>-0.3101220037674158</v>
      </c>
      <c r="J20" s="3">
        <v>-0.6596963381919646</v>
      </c>
      <c r="K20" s="3">
        <v>-0.7308614871628989</v>
      </c>
      <c r="L20" s="3">
        <v>-0.0187125176598402</v>
      </c>
      <c r="M20" s="3">
        <v>-0.3504459239151987</v>
      </c>
      <c r="N20" s="3">
        <v>-0.00556250452882374</v>
      </c>
    </row>
    <row r="21" ht="15.75" customHeight="1">
      <c r="A21" s="3">
        <v>73.86176230532844</v>
      </c>
      <c r="B21" s="3">
        <v>104.9556377110112</v>
      </c>
      <c r="C21" s="3">
        <v>53.99228380633161</v>
      </c>
      <c r="D21" s="3">
        <v>12.6559728766776</v>
      </c>
      <c r="E21" s="3">
        <v>4.381693554425662</v>
      </c>
      <c r="F21" s="3">
        <v>10.8569042134524</v>
      </c>
      <c r="G21" s="3">
        <f t="shared" si="1"/>
        <v>2.060592246</v>
      </c>
      <c r="H21" s="3">
        <v>0.06353208140108228</v>
      </c>
      <c r="I21" s="3">
        <v>-0.5527582807240022</v>
      </c>
      <c r="J21" s="3">
        <v>-0.7595711849271403</v>
      </c>
      <c r="K21" s="3">
        <v>-0.8516105322595944</v>
      </c>
      <c r="L21" s="3">
        <v>-0.2246753988313153</v>
      </c>
      <c r="M21" s="3">
        <v>-0.426752514797084</v>
      </c>
      <c r="N21" s="3">
        <v>-0.01107696766175811</v>
      </c>
    </row>
    <row r="22" ht="15.75" customHeight="1">
      <c r="A22" s="3">
        <v>57.35616982321763</v>
      </c>
      <c r="B22" s="3">
        <v>110.5845581057475</v>
      </c>
      <c r="C22" s="3">
        <v>51.8424036273592</v>
      </c>
      <c r="D22" s="3">
        <v>13.16739577428771</v>
      </c>
      <c r="E22" s="3">
        <v>4.271444950069752</v>
      </c>
      <c r="F22" s="3">
        <v>8.02327395572811</v>
      </c>
      <c r="G22" s="3">
        <f t="shared" si="1"/>
        <v>4.894222503</v>
      </c>
      <c r="H22" s="3">
        <v>0.1657534713310495</v>
      </c>
      <c r="I22" s="3">
        <v>-0.06346443024084394</v>
      </c>
      <c r="J22" s="3">
        <v>-0.5675171824790378</v>
      </c>
      <c r="K22" s="3">
        <v>-0.5919050964312885</v>
      </c>
      <c r="L22" s="3">
        <v>-0.03877178645772234</v>
      </c>
      <c r="M22" s="3">
        <v>-0.3254051832482089</v>
      </c>
      <c r="N22" s="3">
        <v>-0.0236306316034018</v>
      </c>
    </row>
    <row r="23" ht="15.75" customHeight="1">
      <c r="A23" s="3">
        <v>95.43842321824737</v>
      </c>
      <c r="B23" s="3">
        <v>107.5365517662519</v>
      </c>
      <c r="C23" s="3">
        <v>54.13273470761296</v>
      </c>
      <c r="D23" s="3">
        <v>8.562449027146414</v>
      </c>
      <c r="E23" s="3">
        <v>4.456783302239531</v>
      </c>
      <c r="F23" s="3">
        <v>14.95353704823034</v>
      </c>
      <c r="G23" s="3">
        <f t="shared" si="1"/>
        <v>2.036040589</v>
      </c>
      <c r="H23" s="3">
        <v>0.02458554686194736</v>
      </c>
      <c r="I23" s="3">
        <v>-0.7864850604709204</v>
      </c>
      <c r="J23" s="3">
        <v>-0.8708392616025438</v>
      </c>
      <c r="K23" s="3">
        <v>-0.9467660469976412</v>
      </c>
      <c r="L23" s="3">
        <v>-0.09427007502968236</v>
      </c>
      <c r="M23" s="3">
        <v>-0.587931676355867</v>
      </c>
      <c r="N23" s="3">
        <v>-0.01153537345584589</v>
      </c>
    </row>
    <row r="24" ht="15.75" customHeight="1">
      <c r="A24" s="3">
        <v>60.88829226492619</v>
      </c>
      <c r="B24" s="3">
        <v>107.9713695695343</v>
      </c>
      <c r="C24" s="3">
        <v>53.9579942919762</v>
      </c>
      <c r="D24" s="3">
        <v>12.54272671100423</v>
      </c>
      <c r="E24" s="3">
        <v>4.413445663004067</v>
      </c>
      <c r="F24" s="3">
        <v>8.42637325373629</v>
      </c>
      <c r="G24" s="3">
        <f t="shared" si="1"/>
        <v>4.491123205</v>
      </c>
      <c r="H24" s="3">
        <v>0.1316382952251806</v>
      </c>
      <c r="I24" s="3">
        <v>-0.2147075031186303</v>
      </c>
      <c r="J24" s="3">
        <v>-0.623172625855117</v>
      </c>
      <c r="K24" s="3">
        <v>-0.6786734843038847</v>
      </c>
      <c r="L24" s="3">
        <v>-0.01609051248587614</v>
      </c>
      <c r="M24" s="3">
        <v>-0.3407199770727156</v>
      </c>
      <c r="N24" s="3">
        <v>-0.009531623741841818</v>
      </c>
    </row>
    <row r="25" ht="15.75" customHeight="1">
      <c r="A25" s="3">
        <v>59.04572547472857</v>
      </c>
      <c r="B25" s="3">
        <v>118.6441219769808</v>
      </c>
      <c r="C25" s="3">
        <v>54.28255257446571</v>
      </c>
      <c r="D25" s="3">
        <v>12.79674331155699</v>
      </c>
      <c r="E25" s="3">
        <v>4.391900398258836</v>
      </c>
      <c r="F25" s="3">
        <v>8.136289610114513</v>
      </c>
      <c r="G25" s="3">
        <f t="shared" si="1"/>
        <v>4.781206849</v>
      </c>
      <c r="H25" s="3">
        <v>0.1484748626366391</v>
      </c>
      <c r="I25" s="3">
        <v>-0.1396992530086223</v>
      </c>
      <c r="J25" s="3">
        <v>-0.5951356515593916</v>
      </c>
      <c r="K25" s="3">
        <v>-0.6366477222358662</v>
      </c>
      <c r="L25" s="3">
        <v>-0.005330237139165817</v>
      </c>
      <c r="M25" s="3">
        <v>-0.3160756865511383</v>
      </c>
      <c r="N25" s="3">
        <v>-0.008949648056184884</v>
      </c>
    </row>
    <row r="26" ht="15.75" customHeight="1">
      <c r="A26" s="3">
        <v>87.61328514882635</v>
      </c>
      <c r="B26" s="3">
        <v>95.09789462347767</v>
      </c>
      <c r="C26" s="3">
        <v>54.02827365973096</v>
      </c>
      <c r="D26" s="3">
        <v>9.725114225109948</v>
      </c>
      <c r="E26" s="3">
        <v>4.215001050408208</v>
      </c>
      <c r="F26" s="3">
        <v>13.23344498397161</v>
      </c>
      <c r="G26" s="3">
        <f t="shared" si="1"/>
        <v>0.315948525</v>
      </c>
      <c r="H26" s="3">
        <v>0.03352944418516916</v>
      </c>
      <c r="I26" s="3">
        <v>-0.7274642957848607</v>
      </c>
      <c r="J26" s="3">
        <v>-0.8408313613752068</v>
      </c>
      <c r="K26" s="3">
        <v>-0.9250447806854475</v>
      </c>
      <c r="L26" s="3">
        <v>-0.07625863726904304</v>
      </c>
      <c r="M26" s="3">
        <v>-0.5294773493308811</v>
      </c>
      <c r="N26" s="3">
        <v>-0.01257548678914573</v>
      </c>
    </row>
    <row r="27" ht="15.75" customHeight="1">
      <c r="A27" s="3">
        <v>106.4863599929561</v>
      </c>
      <c r="B27" s="3">
        <v>125.4769501935097</v>
      </c>
      <c r="C27" s="3">
        <v>48.08903163343526</v>
      </c>
      <c r="D27" s="3">
        <v>6.525153983893009</v>
      </c>
      <c r="E27" s="3">
        <v>3.905266953339305</v>
      </c>
      <c r="F27" s="3">
        <v>17.56680608604351</v>
      </c>
      <c r="G27" s="3">
        <f t="shared" si="1"/>
        <v>4.649309627</v>
      </c>
      <c r="H27" s="3">
        <v>0.0166666140992296</v>
      </c>
      <c r="I27" s="3">
        <v>-0.843188211860315</v>
      </c>
      <c r="J27" s="3">
        <v>-0.9014618959168164</v>
      </c>
      <c r="K27" s="3">
        <v>-0.9656516553806841</v>
      </c>
      <c r="L27" s="3">
        <v>-0.01991621936378449</v>
      </c>
      <c r="M27" s="3">
        <v>-0.6704605344349138</v>
      </c>
      <c r="N27" s="3">
        <v>-0.07295403419359245</v>
      </c>
    </row>
    <row r="28" ht="15.75" customHeight="1">
      <c r="A28" s="3">
        <v>73.1279558722997</v>
      </c>
      <c r="B28" s="3">
        <v>169.5050024765354</v>
      </c>
      <c r="C28" s="3">
        <v>52.11601606514307</v>
      </c>
      <c r="D28" s="3">
        <v>11.70598222182787</v>
      </c>
      <c r="E28" s="3">
        <v>3.673544427735118</v>
      </c>
      <c r="F28" s="3">
        <v>10.45548136353926</v>
      </c>
      <c r="G28" s="3">
        <f t="shared" si="1"/>
        <v>2.462015095</v>
      </c>
      <c r="H28" s="3">
        <v>0.06568063513554505</v>
      </c>
      <c r="I28" s="3">
        <v>-0.5403239800494396</v>
      </c>
      <c r="J28" s="3">
        <v>-0.7543223430671628</v>
      </c>
      <c r="K28" s="3">
        <v>-0.8455641923857329</v>
      </c>
      <c r="L28" s="3">
        <v>-0.04687986595615556</v>
      </c>
      <c r="M28" s="3">
        <v>-0.4212709295740804</v>
      </c>
      <c r="N28" s="3">
        <v>-0.02573496761847642</v>
      </c>
    </row>
    <row r="29" ht="15.75" customHeight="1">
      <c r="A29" s="3">
        <v>65.387405382156</v>
      </c>
      <c r="B29" s="3">
        <v>105.4625517187617</v>
      </c>
      <c r="C29" s="3">
        <v>47.35445532748103</v>
      </c>
      <c r="D29" s="3">
        <v>12.99967846424891</v>
      </c>
      <c r="E29" s="3">
        <v>4.673457670654376</v>
      </c>
      <c r="F29" s="3">
        <v>9.254287003782963</v>
      </c>
      <c r="G29" s="3">
        <f t="shared" si="1"/>
        <v>3.663209455</v>
      </c>
      <c r="H29" s="3">
        <v>0.1006359662578375</v>
      </c>
      <c r="I29" s="3">
        <v>-0.3620010332785914</v>
      </c>
      <c r="J29" s="3">
        <v>-0.6800516747460307</v>
      </c>
      <c r="K29" s="3">
        <v>-0.7583953321773712</v>
      </c>
      <c r="L29" s="3">
        <v>-0.01022470032239066</v>
      </c>
      <c r="M29" s="3">
        <v>-0.363448477664583</v>
      </c>
      <c r="N29" s="3">
        <v>-0.08402860788220722</v>
      </c>
    </row>
    <row r="30" ht="15.75" customHeight="1">
      <c r="A30" s="3">
        <v>59.22912953711349</v>
      </c>
      <c r="B30" s="3">
        <v>111.9429589649812</v>
      </c>
      <c r="C30" s="3">
        <v>54.30077299436248</v>
      </c>
      <c r="D30" s="3">
        <v>12.79674331155699</v>
      </c>
      <c r="E30" s="3">
        <v>4.583734785757875</v>
      </c>
      <c r="F30" s="3">
        <v>8.16781979989057</v>
      </c>
      <c r="G30" s="3">
        <f t="shared" si="1"/>
        <v>4.749676659</v>
      </c>
      <c r="H30" s="3">
        <v>0.1467234032471383</v>
      </c>
      <c r="I30" s="3">
        <v>-0.1474968818375116</v>
      </c>
      <c r="J30" s="3">
        <v>-0.5980027162866702</v>
      </c>
      <c r="K30" s="3">
        <v>-0.6411273688939113</v>
      </c>
      <c r="L30" s="3">
        <v>-0.008635463442156543</v>
      </c>
      <c r="M30" s="3">
        <v>-0.3174457276859081</v>
      </c>
      <c r="N30" s="3">
        <v>-0.008437975161078299</v>
      </c>
    </row>
    <row r="31" ht="15.75" customHeight="1">
      <c r="A31" s="3">
        <v>90.66746482063951</v>
      </c>
      <c r="B31" s="3">
        <v>108.2277934720822</v>
      </c>
      <c r="C31" s="3">
        <v>53.93634596651805</v>
      </c>
      <c r="D31" s="3">
        <v>9.011316352978197</v>
      </c>
      <c r="E31" s="3">
        <v>4.398054005696</v>
      </c>
      <c r="F31" s="3">
        <v>13.81303565146415</v>
      </c>
      <c r="G31" s="3">
        <f t="shared" si="1"/>
        <v>0.8955391925</v>
      </c>
      <c r="H31" s="3">
        <v>0.02956460012483732</v>
      </c>
      <c r="I31" s="3">
        <v>-0.7530055879627692</v>
      </c>
      <c r="J31" s="3">
        <v>-0.8536425166914102</v>
      </c>
      <c r="K31" s="3">
        <v>-0.9346454469145938</v>
      </c>
      <c r="L31" s="3">
        <v>-0.02275491703937222</v>
      </c>
      <c r="M31" s="3">
        <v>-0.5522922844470917</v>
      </c>
      <c r="N31" s="3">
        <v>-0.008555987056632368</v>
      </c>
    </row>
    <row r="32" ht="15.75" customHeight="1">
      <c r="A32" s="3">
        <v>68.18149486339355</v>
      </c>
      <c r="B32" s="3">
        <v>108.357130770686</v>
      </c>
      <c r="C32" s="3">
        <v>53.97653736614394</v>
      </c>
      <c r="D32" s="3">
        <v>12.21064284572412</v>
      </c>
      <c r="E32" s="3">
        <v>4.467641650772475</v>
      </c>
      <c r="F32" s="3">
        <v>9.611095179561625</v>
      </c>
      <c r="G32" s="3">
        <f t="shared" si="1"/>
        <v>3.306401279</v>
      </c>
      <c r="H32" s="3">
        <v>0.08563727699137864</v>
      </c>
      <c r="I32" s="3">
        <v>-0.4360024322409705</v>
      </c>
      <c r="J32" s="3">
        <v>-0.7101578298928143</v>
      </c>
      <c r="K32" s="3">
        <v>-0.7956306969832625</v>
      </c>
      <c r="L32" s="3">
        <v>-0.06533343055969118</v>
      </c>
      <c r="M32" s="3">
        <v>-0.3843205209211203</v>
      </c>
      <c r="N32" s="3">
        <v>-0.01036731440297707</v>
      </c>
    </row>
    <row r="33" ht="15.75" customHeight="1">
      <c r="A33" s="3">
        <v>141.9654414407972</v>
      </c>
      <c r="B33" s="3">
        <v>166.2658860409979</v>
      </c>
      <c r="C33" s="3">
        <v>48.76221019783299</v>
      </c>
      <c r="D33" s="3">
        <v>18.04310947164209</v>
      </c>
      <c r="E33" s="3">
        <v>3.643247575071601</v>
      </c>
      <c r="F33" s="3">
        <v>23.39960724851772</v>
      </c>
      <c r="G33" s="3">
        <f t="shared" si="1"/>
        <v>10.48211079</v>
      </c>
      <c r="H33" s="3">
        <v>0.00694995452032451</v>
      </c>
      <c r="I33" s="3">
        <v>-0.9252248323073643</v>
      </c>
      <c r="J33" s="3">
        <v>-0.9479716319034491</v>
      </c>
      <c r="K33" s="3">
        <v>-0.9891269548815036</v>
      </c>
      <c r="L33" s="3">
        <v>-0.2567540513573217</v>
      </c>
      <c r="M33" s="3">
        <v>-0.1639889957393604</v>
      </c>
      <c r="N33" s="3">
        <v>-0.07582667584279353</v>
      </c>
    </row>
    <row r="34" ht="15.75" customHeight="1">
      <c r="A34" s="3">
        <v>91.02984777385846</v>
      </c>
      <c r="B34" s="3">
        <v>105.1348848016649</v>
      </c>
      <c r="C34" s="3">
        <v>52.3701515507799</v>
      </c>
      <c r="D34" s="3">
        <v>9.090540359773984</v>
      </c>
      <c r="E34" s="3">
        <v>4.724307206173748</v>
      </c>
      <c r="F34" s="3">
        <v>13.93140831683126</v>
      </c>
      <c r="G34" s="3">
        <f t="shared" si="1"/>
        <v>1.013911858</v>
      </c>
      <c r="H34" s="3">
        <v>0.02915363125845839</v>
      </c>
      <c r="I34" s="3">
        <v>-0.7557562057903829</v>
      </c>
      <c r="J34" s="3">
        <v>-0.8550215573657467</v>
      </c>
      <c r="K34" s="3">
        <v>-0.9356799352230291</v>
      </c>
      <c r="L34" s="3">
        <v>-0.02310733560186337</v>
      </c>
      <c r="M34" s="3">
        <v>-0.554999310376579</v>
      </c>
      <c r="N34" s="3">
        <v>-0.02091158792051437</v>
      </c>
    </row>
    <row r="35" ht="15.75" customHeight="1">
      <c r="A35" s="3">
        <v>103.7848713929783</v>
      </c>
      <c r="B35" s="3">
        <v>102.6760441671301</v>
      </c>
      <c r="C35" s="3">
        <v>49.48566661096145</v>
      </c>
      <c r="D35" s="3">
        <v>7.208921703872102</v>
      </c>
      <c r="E35" s="3">
        <v>4.297114571079386</v>
      </c>
      <c r="F35" s="3">
        <v>16.94200436993699</v>
      </c>
      <c r="G35" s="3">
        <f t="shared" si="1"/>
        <v>4.024507911</v>
      </c>
      <c r="H35" s="3">
        <v>0.01824603195159577</v>
      </c>
      <c r="I35" s="3">
        <v>-0.8314662664502206</v>
      </c>
      <c r="J35" s="3">
        <v>-0.8949556767731642</v>
      </c>
      <c r="K35" s="3">
        <v>-0.9619332733924139</v>
      </c>
      <c r="L35" s="3">
        <v>-0.06880516793127457</v>
      </c>
      <c r="M35" s="3">
        <v>-0.6502802262184405</v>
      </c>
      <c r="N35" s="3">
        <v>-0.1069681732877233</v>
      </c>
    </row>
    <row r="36" ht="15.75" customHeight="1">
      <c r="A36" s="3">
        <v>56.9694814683662</v>
      </c>
      <c r="B36" s="3">
        <v>111.6910899084634</v>
      </c>
      <c r="C36" s="3">
        <v>51.83393630890664</v>
      </c>
      <c r="D36" s="3">
        <v>13.04424082459067</v>
      </c>
      <c r="E36" s="3">
        <v>4.179882461006166</v>
      </c>
      <c r="F36" s="3">
        <v>7.938570143837297</v>
      </c>
      <c r="G36" s="3">
        <f t="shared" si="1"/>
        <v>4.978926315</v>
      </c>
      <c r="H36" s="3">
        <v>0.1700371860742892</v>
      </c>
      <c r="I36" s="3">
        <v>-0.04480743737036412</v>
      </c>
      <c r="J36" s="3">
        <v>-0.5608716202863273</v>
      </c>
      <c r="K36" s="3">
        <v>-0.580711768600232</v>
      </c>
      <c r="L36" s="3">
        <v>-0.0141475292812358</v>
      </c>
      <c r="M36" s="3">
        <v>-0.3225371529916116</v>
      </c>
      <c r="N36" s="3">
        <v>-0.02341685270376919</v>
      </c>
    </row>
    <row r="37" ht="15.75" customHeight="1">
      <c r="A37" s="3">
        <v>69.12152698210613</v>
      </c>
      <c r="B37" s="3">
        <v>105.9723688484508</v>
      </c>
      <c r="C37" s="3">
        <v>54.35007086004026</v>
      </c>
      <c r="D37" s="3">
        <v>12.29134821558162</v>
      </c>
      <c r="E37" s="3">
        <v>4.864404876323157</v>
      </c>
      <c r="F37" s="3">
        <v>9.824317508876769</v>
      </c>
      <c r="G37" s="3">
        <f t="shared" si="1"/>
        <v>3.09317895</v>
      </c>
      <c r="H37" s="3">
        <v>0.08137188657910663</v>
      </c>
      <c r="I37" s="3">
        <v>-0.4579522825616391</v>
      </c>
      <c r="J37" s="3">
        <v>-0.7192147933485246</v>
      </c>
      <c r="K37" s="3">
        <v>-0.806523401154576</v>
      </c>
      <c r="L37" s="3">
        <v>-0.1003166618956872</v>
      </c>
      <c r="M37" s="3">
        <v>-0.3913426263962869</v>
      </c>
      <c r="N37" s="3">
        <v>-0.007053573385662653</v>
      </c>
    </row>
    <row r="38" ht="15.75" customHeight="1">
      <c r="A38" s="3">
        <v>58.11386253986274</v>
      </c>
      <c r="B38" s="3">
        <v>116.1287815134908</v>
      </c>
      <c r="C38" s="3">
        <v>52.13684210867149</v>
      </c>
      <c r="D38" s="3">
        <v>13.22150951437826</v>
      </c>
      <c r="E38" s="3">
        <v>3.936423484258684</v>
      </c>
      <c r="F38" s="3">
        <v>8.073592798274039</v>
      </c>
      <c r="G38" s="3">
        <f t="shared" si="1"/>
        <v>4.843903661</v>
      </c>
      <c r="H38" s="3">
        <v>0.1581219937955598</v>
      </c>
      <c r="I38" s="3">
        <v>-0.09787971298117905</v>
      </c>
      <c r="J38" s="3">
        <v>-0.5797665237069777</v>
      </c>
      <c r="K38" s="3">
        <v>-0.612775549770093</v>
      </c>
      <c r="L38" s="3">
        <v>-0.01522709925336914</v>
      </c>
      <c r="M38" s="3">
        <v>-0.3091146054489436</v>
      </c>
      <c r="N38" s="3">
        <v>-0.0254699651590957</v>
      </c>
    </row>
    <row r="39" ht="15.75" customHeight="1">
      <c r="A39" s="3">
        <v>61.38528803895146</v>
      </c>
      <c r="B39" s="3">
        <v>111.6910899084634</v>
      </c>
      <c r="C39" s="3">
        <v>54.22967927447809</v>
      </c>
      <c r="D39" s="3">
        <v>13.04424082459067</v>
      </c>
      <c r="E39" s="3">
        <v>4.179882461006166</v>
      </c>
      <c r="F39" s="3">
        <v>8.591203858524896</v>
      </c>
      <c r="G39" s="3">
        <f t="shared" si="1"/>
        <v>4.3262926</v>
      </c>
      <c r="H39" s="3">
        <v>0.1281080745372635</v>
      </c>
      <c r="I39" s="3">
        <v>-0.2321261845749104</v>
      </c>
      <c r="J39" s="3">
        <v>-0.6295556029940298</v>
      </c>
      <c r="K39" s="3">
        <v>-0.6889540528934537</v>
      </c>
      <c r="L39" s="3">
        <v>-0.07826936532606221</v>
      </c>
      <c r="M39" s="3">
        <v>-0.3335523820434414</v>
      </c>
      <c r="N39" s="3">
        <v>-0.009588759863063345</v>
      </c>
    </row>
    <row r="40" ht="15.75" customHeight="1">
      <c r="A40" s="3">
        <v>78.14409761644832</v>
      </c>
      <c r="B40" s="3">
        <v>127.686665480247</v>
      </c>
      <c r="C40" s="3">
        <v>53.81124113807423</v>
      </c>
      <c r="D40" s="3">
        <v>10.64686828249746</v>
      </c>
      <c r="E40" s="3">
        <v>4.360660393609807</v>
      </c>
      <c r="F40" s="3">
        <v>11.26208174392048</v>
      </c>
      <c r="G40" s="3">
        <f t="shared" si="1"/>
        <v>1.655414715</v>
      </c>
      <c r="H40" s="3">
        <v>0.05111698226764429</v>
      </c>
      <c r="I40" s="3">
        <v>-0.621173621688857</v>
      </c>
      <c r="J40" s="3">
        <v>-0.7904133976487362</v>
      </c>
      <c r="K40" s="3">
        <v>-0.8815603767506346</v>
      </c>
      <c r="L40" s="3">
        <v>-0.002700628564929268</v>
      </c>
      <c r="M40" s="3">
        <v>-0.4587418581781353</v>
      </c>
      <c r="N40" s="3">
        <v>-0.002357792822349388</v>
      </c>
    </row>
    <row r="41" ht="15.75" customHeight="1">
      <c r="A41" s="3">
        <v>63.64678525149385</v>
      </c>
      <c r="B41" s="3">
        <v>123.3400939264293</v>
      </c>
      <c r="C41" s="3">
        <v>53.88369479010365</v>
      </c>
      <c r="D41" s="3">
        <v>12.43523065372042</v>
      </c>
      <c r="E41" s="3">
        <v>4.587704896134846</v>
      </c>
      <c r="F41" s="3">
        <v>8.833898543243574</v>
      </c>
      <c r="G41" s="3">
        <f t="shared" si="1"/>
        <v>4.083597916</v>
      </c>
      <c r="H41" s="3">
        <v>0.1112741487960234</v>
      </c>
      <c r="I41" s="3">
        <v>-0.3101220037674158</v>
      </c>
      <c r="J41" s="3">
        <v>-0.6596963381919646</v>
      </c>
      <c r="K41" s="3">
        <v>-0.7308614871628989</v>
      </c>
      <c r="L41" s="3">
        <v>-0.0187125176598402</v>
      </c>
      <c r="M41" s="3">
        <v>-0.3504459239151987</v>
      </c>
      <c r="N41" s="3">
        <v>-0.00556250452882374</v>
      </c>
    </row>
    <row r="42" ht="15.75" customHeight="1">
      <c r="A42" s="3">
        <v>66.45689432904058</v>
      </c>
      <c r="B42" s="3">
        <v>105.6530153409836</v>
      </c>
      <c r="C42" s="3">
        <v>54.34997324362727</v>
      </c>
      <c r="D42" s="3">
        <v>12.29134821558162</v>
      </c>
      <c r="E42" s="3">
        <v>4.530569954754895</v>
      </c>
      <c r="F42" s="3">
        <v>9.317331189045484</v>
      </c>
      <c r="G42" s="3">
        <f t="shared" si="1"/>
        <v>3.60016527</v>
      </c>
      <c r="H42" s="3">
        <v>0.09439513538773071</v>
      </c>
      <c r="I42" s="3">
        <v>-0.3921069939092151</v>
      </c>
      <c r="J42" s="3">
        <v>-0.6922431399749758</v>
      </c>
      <c r="K42" s="3">
        <v>-0.7735764624531527</v>
      </c>
      <c r="L42" s="3">
        <v>-0.05354910322616672</v>
      </c>
      <c r="M42" s="3">
        <v>-0.3714376346732112</v>
      </c>
      <c r="N42" s="3">
        <v>-0.007056314687615709</v>
      </c>
    </row>
    <row r="43" ht="15.75" customHeight="1">
      <c r="A43" s="5">
        <v>85.65098439814686</v>
      </c>
      <c r="B43" s="5">
        <v>101.910074277984</v>
      </c>
      <c r="C43" s="5">
        <v>47.2338674006572</v>
      </c>
      <c r="D43" s="5">
        <v>10.64982181724064</v>
      </c>
      <c r="E43" s="5">
        <v>3.485845731996071</v>
      </c>
      <c r="F43" s="5">
        <v>12.96180643391006</v>
      </c>
      <c r="G43" s="5">
        <f t="shared" si="1"/>
        <v>0.04430997491</v>
      </c>
      <c r="H43" s="5">
        <v>0.03650006863333906</v>
      </c>
      <c r="I43" s="5">
        <v>-0.7089499527135884</v>
      </c>
      <c r="J43" s="5">
        <v>-0.8316789976716603</v>
      </c>
      <c r="K43" s="5">
        <v>-0.9179360713578143</v>
      </c>
      <c r="L43" s="5">
        <v>-0.06656488370120538</v>
      </c>
      <c r="M43" s="5">
        <v>-0.514818825892191</v>
      </c>
      <c r="N43" s="5">
        <v>-0.07964140753553954</v>
      </c>
    </row>
    <row r="44" ht="15.75" customHeight="1">
      <c r="A44" s="3">
        <v>67.37846027730106</v>
      </c>
      <c r="B44" s="3">
        <v>113.9180456686128</v>
      </c>
      <c r="C44" s="3">
        <v>54.45473502131957</v>
      </c>
      <c r="D44" s="3">
        <v>12.43523065372042</v>
      </c>
      <c r="E44" s="3">
        <v>4.46125304633541</v>
      </c>
      <c r="F44" s="3">
        <v>9.533016175758165</v>
      </c>
      <c r="G44" s="3">
        <f t="shared" si="1"/>
        <v>3.384480283</v>
      </c>
      <c r="H44" s="3">
        <v>0.08967271702779259</v>
      </c>
      <c r="I44" s="3">
        <v>-0.415889129554043</v>
      </c>
      <c r="J44" s="3">
        <v>-0.7018554220971974</v>
      </c>
      <c r="K44" s="3">
        <v>-0.7857122179746692</v>
      </c>
      <c r="L44" s="3">
        <v>-0.09279969264120576</v>
      </c>
      <c r="M44" s="3">
        <v>-0.3783217965674556</v>
      </c>
      <c r="N44" s="3">
        <v>-0.004114353833146065</v>
      </c>
    </row>
    <row r="45" ht="15.75" customHeight="1">
      <c r="A45" s="3">
        <v>112.3896575238691</v>
      </c>
      <c r="B45" s="3">
        <v>104.2390978946092</v>
      </c>
      <c r="C45" s="3">
        <v>47.14913819212945</v>
      </c>
      <c r="D45" s="3">
        <v>5.036131001730456</v>
      </c>
      <c r="E45" s="3">
        <v>4.269525587126868</v>
      </c>
      <c r="F45" s="3">
        <v>18.98858464704726</v>
      </c>
      <c r="G45" s="3">
        <f t="shared" si="1"/>
        <v>6.071088188</v>
      </c>
      <c r="H45" s="3">
        <v>0.01381292045391245</v>
      </c>
      <c r="I45" s="3">
        <v>-0.8650698627302609</v>
      </c>
      <c r="J45" s="3">
        <v>-0.9138668510275095</v>
      </c>
      <c r="K45" s="3">
        <v>-0.9723193459421133</v>
      </c>
      <c r="L45" s="3">
        <v>-0.03002726091291764</v>
      </c>
      <c r="M45" s="3">
        <v>-0.7100615835999508</v>
      </c>
      <c r="N45" s="3">
        <v>-0.07379083953055246</v>
      </c>
    </row>
    <row r="46" ht="15.75" customHeight="1">
      <c r="A46" s="3">
        <v>60.10412548736139</v>
      </c>
      <c r="B46" s="3">
        <v>148.3915982710526</v>
      </c>
      <c r="C46" s="3">
        <v>53.77351330879078</v>
      </c>
      <c r="D46" s="3">
        <v>12.78180414197202</v>
      </c>
      <c r="E46" s="3">
        <v>4.205430024155776</v>
      </c>
      <c r="F46" s="3">
        <v>8.299810176751082</v>
      </c>
      <c r="G46" s="3">
        <f t="shared" si="1"/>
        <v>4.617686282</v>
      </c>
      <c r="H46" s="3">
        <v>0.1386708956704284</v>
      </c>
      <c r="I46" s="3">
        <v>-0.1835230484859852</v>
      </c>
      <c r="J46" s="3">
        <v>-0.6113656339615564</v>
      </c>
      <c r="K46" s="3">
        <v>-0.6615733081058849</v>
      </c>
      <c r="L46" s="3">
        <v>-0.01103121126259792</v>
      </c>
      <c r="M46" s="3">
        <v>-0.3239820084476752</v>
      </c>
      <c r="N46" s="3">
        <v>-6.890457988671585E-4</v>
      </c>
    </row>
    <row r="47" ht="15.75" customHeight="1">
      <c r="A47" s="3">
        <v>60.10412548736139</v>
      </c>
      <c r="B47" s="3">
        <v>109.8440388017344</v>
      </c>
      <c r="C47" s="3">
        <v>53.77351330879078</v>
      </c>
      <c r="D47" s="3">
        <v>12.78180414197202</v>
      </c>
      <c r="E47" s="3">
        <v>4.157854044307946</v>
      </c>
      <c r="F47" s="3">
        <v>8.351857094810596</v>
      </c>
      <c r="G47" s="3">
        <f t="shared" si="1"/>
        <v>4.565639364</v>
      </c>
      <c r="H47" s="3">
        <v>0.1384873892508884</v>
      </c>
      <c r="I47" s="3">
        <v>-0.1839074177843837</v>
      </c>
      <c r="J47" s="3">
        <v>-0.6115708447456452</v>
      </c>
      <c r="K47" s="3">
        <v>-0.6615733081058849</v>
      </c>
      <c r="L47" s="3">
        <v>-0.036402244829892</v>
      </c>
      <c r="M47" s="3">
        <v>-0.3348830577614832</v>
      </c>
      <c r="N47" s="3">
        <v>-6.890457988671585E-4</v>
      </c>
    </row>
    <row r="48" ht="15.75" customHeight="1">
      <c r="A48" s="3">
        <v>58.11386253986274</v>
      </c>
      <c r="B48" s="3">
        <v>116.1114952968399</v>
      </c>
      <c r="C48" s="3">
        <v>52.13684210867149</v>
      </c>
      <c r="D48" s="3">
        <v>13.22150951437826</v>
      </c>
      <c r="E48" s="3">
        <v>3.936423484258684</v>
      </c>
      <c r="F48" s="3">
        <v>8.073592798274039</v>
      </c>
      <c r="G48" s="3">
        <f t="shared" si="1"/>
        <v>4.843903661</v>
      </c>
      <c r="H48" s="3">
        <v>0.1581219937955598</v>
      </c>
      <c r="I48" s="3">
        <v>-0.09787971298117905</v>
      </c>
      <c r="J48" s="3">
        <v>-0.5797665237069777</v>
      </c>
      <c r="K48" s="3">
        <v>-0.612775549770093</v>
      </c>
      <c r="L48" s="3">
        <v>-0.01522709925336914</v>
      </c>
      <c r="M48" s="3">
        <v>-0.3091146054489436</v>
      </c>
      <c r="N48" s="3">
        <v>-0.0254699651590957</v>
      </c>
    </row>
    <row r="49" ht="15.75" customHeight="1">
      <c r="A49" s="3">
        <v>148.2210435949916</v>
      </c>
      <c r="B49" s="3">
        <v>138.2739285685825</v>
      </c>
      <c r="C49" s="3">
        <v>50.00670413965369</v>
      </c>
      <c r="D49" s="3">
        <v>14.97340356239308</v>
      </c>
      <c r="E49" s="3">
        <v>4.087641059786637</v>
      </c>
      <c r="F49" s="3">
        <v>24.3533374405705</v>
      </c>
      <c r="G49" s="3">
        <f t="shared" si="1"/>
        <v>11.43584098</v>
      </c>
      <c r="H49" s="3">
        <v>0.005959944072688878</v>
      </c>
      <c r="I49" s="3">
        <v>-0.9337017807438838</v>
      </c>
      <c r="J49" s="3">
        <v>-0.9537906149517216</v>
      </c>
      <c r="K49" s="3">
        <v>-0.9908495537957976</v>
      </c>
      <c r="L49" s="3">
        <v>-0.05636919483704771</v>
      </c>
      <c r="M49" s="3">
        <v>-0.2262953747988232</v>
      </c>
      <c r="N49" s="3">
        <v>-0.08607948343700783</v>
      </c>
    </row>
    <row r="50" ht="15.75" customHeight="1">
      <c r="A50" s="3">
        <v>78.17291696069061</v>
      </c>
      <c r="B50" s="3">
        <v>111.6680293897479</v>
      </c>
      <c r="C50" s="3">
        <v>53.80859143443185</v>
      </c>
      <c r="D50" s="3">
        <v>10.93010475256998</v>
      </c>
      <c r="E50" s="3">
        <v>4.025121277932119</v>
      </c>
      <c r="F50" s="3">
        <v>11.3398976171945</v>
      </c>
      <c r="G50" s="3">
        <f t="shared" si="1"/>
        <v>1.577598842</v>
      </c>
      <c r="H50" s="3">
        <v>0.05110261397027798</v>
      </c>
      <c r="I50" s="3">
        <v>-0.6214202078420564</v>
      </c>
      <c r="J50" s="3">
        <v>-0.7904844217751417</v>
      </c>
      <c r="K50" s="3">
        <v>-0.881734936703802</v>
      </c>
      <c r="L50" s="3">
        <v>-0.05420851762265858</v>
      </c>
      <c r="M50" s="3">
        <v>-0.4589571406891964</v>
      </c>
      <c r="N50" s="3">
        <v>-0.00224059326037329</v>
      </c>
    </row>
    <row r="51" ht="15.75" customHeight="1">
      <c r="A51" s="3">
        <v>112.3896575238691</v>
      </c>
      <c r="B51" s="3">
        <v>104.2390978946092</v>
      </c>
      <c r="C51" s="3">
        <v>47.14913819212945</v>
      </c>
      <c r="D51" s="3">
        <v>5.036131001730456</v>
      </c>
      <c r="E51" s="3">
        <v>3.57383428779841</v>
      </c>
      <c r="F51" s="3">
        <v>18.98858464704726</v>
      </c>
      <c r="G51" s="3">
        <f t="shared" si="1"/>
        <v>6.071088188</v>
      </c>
      <c r="H51" s="3">
        <v>0.01381292045391245</v>
      </c>
      <c r="I51" s="3">
        <v>-0.8650698627302609</v>
      </c>
      <c r="J51" s="3">
        <v>-0.9138668510275095</v>
      </c>
      <c r="K51" s="3">
        <v>-0.9723193459421133</v>
      </c>
      <c r="L51" s="3">
        <v>-0.03002726091291764</v>
      </c>
      <c r="M51" s="3">
        <v>-0.7100615835999508</v>
      </c>
      <c r="N51" s="3">
        <v>-0.07379083953055246</v>
      </c>
    </row>
    <row r="52" ht="15.75" customHeight="1">
      <c r="F52" s="3">
        <f>AVERAGE(F2:F51)</f>
        <v>12.91749646</v>
      </c>
      <c r="G52" s="3">
        <f>SMALL(G2:G51,1)</f>
        <v>0.04430997491</v>
      </c>
    </row>
    <row r="53" ht="15.75" customHeight="1">
      <c r="F53" s="3">
        <f>SMALL(F2:F51,1)</f>
        <v>7.847923139</v>
      </c>
    </row>
    <row r="54" ht="15.75" customHeight="1">
      <c r="F54" s="3">
        <f>LARGE(F2:F51,1)</f>
        <v>24.83467348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2026-08-29T02:02:33Z</dcterms:created>
  <dc:creator>openpyxl</dc:creator>
</cp:coreProperties>
</file>