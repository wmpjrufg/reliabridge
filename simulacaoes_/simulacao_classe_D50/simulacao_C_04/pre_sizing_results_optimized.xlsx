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4"/>
  </sheets>
  <definedNames/>
  <calcPr/>
  <extLst>
    <ext uri="GoogleSheetsCustomDataVersion2">
      <go:sheetsCustomData xmlns:go="http://customooxmlschemas.google.com/" r:id="rId5" roundtripDataChecksum="VYrJ34Jl6U80UQlM7ST9HZrb9pYEvD4kCTIEmyaohO4="/>
    </ext>
  </extLst>
</workbook>
</file>

<file path=xl/sharedStrings.xml><?xml version="1.0" encoding="utf-8"?>
<sst xmlns="http://schemas.openxmlformats.org/spreadsheetml/2006/main" count="13" uniqueCount="13">
  <si>
    <t>d_cm</t>
  </si>
  <si>
    <t>esp_cm</t>
  </si>
  <si>
    <t>bw_cm</t>
  </si>
  <si>
    <t>h_cm</t>
  </si>
  <si>
    <t>esp_tab_cm</t>
  </si>
  <si>
    <t>of_volume_m3</t>
  </si>
  <si>
    <t>of_fator_flecha</t>
  </si>
  <si>
    <t>longarina_g_m</t>
  </si>
  <si>
    <t>longarina_g_v</t>
  </si>
  <si>
    <t>longarina_g_f</t>
  </si>
  <si>
    <t>tabuleiro_g_m</t>
  </si>
  <si>
    <t>longarina_g_esp</t>
  </si>
  <si>
    <t>tabuleiro_g_esp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</si>
</sst>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29"/>
    <col customWidth="1" min="6" max="6" width="14.29"/>
    <col customWidth="1" min="7" max="8" width="16.57"/>
    <col customWidth="1" min="9" max="9" width="14.14"/>
    <col customWidth="1" min="10" max="11" width="14.0"/>
    <col customWidth="1" min="12" max="12" width="17.14"/>
    <col customWidth="1" min="13" max="13" width="15.43"/>
    <col customWidth="1" min="14" max="14" width="17.14"/>
    <col customWidth="1" min="15" max="15" width="8.71"/>
    <col customWidth="1" min="16" max="16" width="17.14"/>
    <col customWidth="1" min="17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>
        <v>30.0242974653403</v>
      </c>
      <c r="B2" s="2">
        <v>83.7841570829237</v>
      </c>
      <c r="C2" s="2">
        <v>39.71303443084256</v>
      </c>
      <c r="D2" s="2">
        <v>5.398383643620283</v>
      </c>
      <c r="E2" s="2">
        <v>3.445950639920489</v>
      </c>
      <c r="F2" s="2">
        <v>1.728833054857739</v>
      </c>
      <c r="G2" s="2">
        <f t="shared" ref="G2:G51" si="1">ABS(F2-$F$52)</f>
        <v>3.193374068</v>
      </c>
      <c r="H2" s="2">
        <v>0.01845007473116909</v>
      </c>
      <c r="I2" s="2">
        <v>-0.7370806396935887</v>
      </c>
      <c r="J2" s="2">
        <v>-0.6269950507763594</v>
      </c>
      <c r="K2" s="2">
        <v>-0.9815499252688308</v>
      </c>
      <c r="L2" s="2">
        <v>-7.885966932174402E-4</v>
      </c>
      <c r="M2" s="2">
        <v>-0.6244029963821364</v>
      </c>
      <c r="N2" s="2">
        <v>-0.08883371938573087</v>
      </c>
      <c r="P2" s="3">
        <f>LARGE(I2:L3,1)
</f>
        <v>-0.0007885966932</v>
      </c>
    </row>
    <row r="3">
      <c r="A3" s="4">
        <v>149.9990958402852</v>
      </c>
      <c r="B3" s="4">
        <v>122.0370737233008</v>
      </c>
      <c r="C3" s="4">
        <v>39.14368865577295</v>
      </c>
      <c r="D3" s="4">
        <v>10.2303232451212</v>
      </c>
      <c r="E3" s="4">
        <v>3.561578278029555</v>
      </c>
      <c r="F3" s="4">
        <v>11.78506457689864</v>
      </c>
      <c r="G3" s="4">
        <f t="shared" si="1"/>
        <v>6.862857454</v>
      </c>
      <c r="H3" s="4">
        <v>3.565885428473555E-4</v>
      </c>
      <c r="I3" s="4">
        <v>-0.99554910082188</v>
      </c>
      <c r="J3" s="4">
        <v>-1.02230289771349</v>
      </c>
      <c r="K3" s="4">
        <v>-0.9996434114571529</v>
      </c>
      <c r="L3" s="4">
        <v>-0.001676887983672951</v>
      </c>
      <c r="M3" s="4">
        <v>-0.2440049404732502</v>
      </c>
      <c r="N3" s="4">
        <v>-0.06509332492299923</v>
      </c>
    </row>
    <row r="4">
      <c r="A4" s="3">
        <v>149.9990958402852</v>
      </c>
      <c r="B4" s="3">
        <v>83.05047684113094</v>
      </c>
      <c r="C4" s="3">
        <v>39.14368865577295</v>
      </c>
      <c r="D4" s="3">
        <v>10.2303232451212</v>
      </c>
      <c r="E4" s="3">
        <v>3.197084491835026</v>
      </c>
      <c r="F4" s="3">
        <v>11.78506457689864</v>
      </c>
      <c r="G4" s="3">
        <f t="shared" si="1"/>
        <v>6.862857454</v>
      </c>
      <c r="H4" s="3">
        <v>3.565885428473555E-4</v>
      </c>
      <c r="I4" s="3">
        <v>-0.99554910082188</v>
      </c>
      <c r="J4" s="3">
        <v>-1.02230289771349</v>
      </c>
      <c r="K4" s="3">
        <v>-0.9996434114571529</v>
      </c>
      <c r="L4" s="3">
        <v>-0.001676887983672951</v>
      </c>
      <c r="M4" s="3">
        <v>-0.2440049404732502</v>
      </c>
      <c r="N4" s="3">
        <v>-0.06509332492299923</v>
      </c>
    </row>
    <row r="5">
      <c r="A5" s="3">
        <v>31.68507230077135</v>
      </c>
      <c r="B5" s="3">
        <v>75.88201864492672</v>
      </c>
      <c r="C5" s="3">
        <v>39.98779942774788</v>
      </c>
      <c r="D5" s="3">
        <v>5.21089093158386</v>
      </c>
      <c r="E5" s="3">
        <v>3.447274645523902</v>
      </c>
      <c r="F5" s="3">
        <v>1.829759729020542</v>
      </c>
      <c r="G5" s="3">
        <f t="shared" si="1"/>
        <v>3.092447393</v>
      </c>
      <c r="H5" s="3">
        <v>0.01539373739081545</v>
      </c>
      <c r="I5" s="3">
        <v>-0.7755095121023827</v>
      </c>
      <c r="J5" s="3">
        <v>-0.6795209571922043</v>
      </c>
      <c r="K5" s="3">
        <v>-0.9846062626091846</v>
      </c>
      <c r="L5" s="3">
        <v>-0.008087082950662938</v>
      </c>
      <c r="M5" s="3">
        <v>-0.6347414162374699</v>
      </c>
      <c r="N5" s="3">
        <v>-0.09100387255421082</v>
      </c>
    </row>
    <row r="6">
      <c r="A6" s="3">
        <v>97.75329329939859</v>
      </c>
      <c r="B6" s="3">
        <v>76.53004354023159</v>
      </c>
      <c r="C6" s="3">
        <v>39.15049349839065</v>
      </c>
      <c r="D6" s="3">
        <v>6.856936352077122</v>
      </c>
      <c r="E6" s="3">
        <v>3.811971697829518</v>
      </c>
      <c r="F6" s="3">
        <v>7.549716281432707</v>
      </c>
      <c r="G6" s="3">
        <f t="shared" si="1"/>
        <v>2.627509159</v>
      </c>
      <c r="H6" s="3">
        <v>8.571791238931867E-4</v>
      </c>
      <c r="I6" s="3">
        <v>-0.9891463189895828</v>
      </c>
      <c r="J6" s="3">
        <v>-1.01957332588293</v>
      </c>
      <c r="K6" s="3">
        <v>-0.9991428208761067</v>
      </c>
      <c r="L6" s="3">
        <v>-0.2915167796578361</v>
      </c>
      <c r="M6" s="3">
        <v>-0.6052239172778194</v>
      </c>
      <c r="N6" s="3">
        <v>-0.06552186328231267</v>
      </c>
    </row>
    <row r="7">
      <c r="A7" s="3">
        <v>144.3165379832481</v>
      </c>
      <c r="B7" s="3">
        <v>83.47610282891443</v>
      </c>
      <c r="C7" s="3">
        <v>39.44297511867957</v>
      </c>
      <c r="D7" s="3">
        <v>10.72445205553763</v>
      </c>
      <c r="E7" s="3">
        <v>3.55873352976353</v>
      </c>
      <c r="F7" s="3">
        <v>11.0736822099326</v>
      </c>
      <c r="G7" s="3">
        <f t="shared" si="1"/>
        <v>6.151475087</v>
      </c>
      <c r="H7" s="3">
        <v>3.928535104763645E-4</v>
      </c>
      <c r="I7" s="3">
        <v>-0.9951630524667874</v>
      </c>
      <c r="J7" s="3">
        <v>-1.022433192424037</v>
      </c>
      <c r="K7" s="3">
        <v>-0.9996071464895235</v>
      </c>
      <c r="L7" s="3">
        <v>-0.001646689987713416</v>
      </c>
      <c r="M7" s="3">
        <v>-0.187406135891267</v>
      </c>
      <c r="N7" s="3">
        <v>-0.07938927666455747</v>
      </c>
    </row>
    <row r="8">
      <c r="A8" s="3">
        <v>88.69523033208897</v>
      </c>
      <c r="B8" s="3">
        <v>75.85685285493494</v>
      </c>
      <c r="C8" s="3">
        <v>39.14975850942782</v>
      </c>
      <c r="D8" s="3">
        <v>6.856936352077122</v>
      </c>
      <c r="E8" s="3">
        <v>3.811971697829518</v>
      </c>
      <c r="F8" s="3">
        <v>6.364674606391286</v>
      </c>
      <c r="G8" s="3">
        <f t="shared" si="1"/>
        <v>1.442467484</v>
      </c>
      <c r="H8" s="3">
        <v>0.001083909552350715</v>
      </c>
      <c r="I8" s="3">
        <v>-0.9862359749864321</v>
      </c>
      <c r="J8" s="3">
        <v>-1.015549424547683</v>
      </c>
      <c r="K8" s="3">
        <v>-0.9989160904476493</v>
      </c>
      <c r="L8" s="3">
        <v>-0.00910318798512811</v>
      </c>
      <c r="M8" s="3">
        <v>-0.537559555293826</v>
      </c>
      <c r="N8" s="3">
        <v>-0.06547557698563583</v>
      </c>
    </row>
    <row r="9">
      <c r="A9" s="3">
        <v>30.79802932500195</v>
      </c>
      <c r="B9" s="3">
        <v>75.57289765840174</v>
      </c>
      <c r="C9" s="3">
        <v>39.77513562026076</v>
      </c>
      <c r="D9" s="3">
        <v>5.310436635482583</v>
      </c>
      <c r="E9" s="3">
        <v>3.936621371735383</v>
      </c>
      <c r="F9" s="3">
        <v>1.773914909610934</v>
      </c>
      <c r="G9" s="3">
        <f t="shared" si="1"/>
        <v>3.148292213</v>
      </c>
      <c r="H9" s="3">
        <v>0.01692256393584251</v>
      </c>
      <c r="I9" s="3">
        <v>-0.7560232153779247</v>
      </c>
      <c r="J9" s="3">
        <v>-0.652643747623145</v>
      </c>
      <c r="K9" s="3">
        <v>-0.9830774360641573</v>
      </c>
      <c r="L9" s="3">
        <v>-0.00202161063134624</v>
      </c>
      <c r="M9" s="3">
        <v>-0.6292195221687604</v>
      </c>
      <c r="N9" s="3">
        <v>-0.08945625071913829</v>
      </c>
    </row>
    <row r="10">
      <c r="A10" s="3">
        <v>104.2535460211967</v>
      </c>
      <c r="B10" s="3">
        <v>83.67327102940476</v>
      </c>
      <c r="C10" s="3">
        <v>39.14998146570926</v>
      </c>
      <c r="D10" s="3">
        <v>5.021584508317384</v>
      </c>
      <c r="E10" s="3">
        <v>3.442412372355966</v>
      </c>
      <c r="F10" s="3">
        <v>8.244959316310686</v>
      </c>
      <c r="G10" s="3">
        <f t="shared" si="1"/>
        <v>3.322752194</v>
      </c>
      <c r="H10" s="3">
        <v>7.275521664178539E-4</v>
      </c>
      <c r="I10" s="3">
        <v>-0.9907288119863562</v>
      </c>
      <c r="J10" s="3">
        <v>-1.021489590920631</v>
      </c>
      <c r="K10" s="3">
        <v>-0.9992724478335823</v>
      </c>
      <c r="L10" s="3">
        <v>-0.05754491411151689</v>
      </c>
      <c r="M10" s="3">
        <v>-0.6537812583718857</v>
      </c>
      <c r="N10" s="3">
        <v>-0.06548961776870996</v>
      </c>
    </row>
    <row r="11">
      <c r="A11" s="3">
        <v>34.34699248214269</v>
      </c>
      <c r="B11" s="3">
        <v>59.30197393632378</v>
      </c>
      <c r="C11" s="3">
        <v>39.24865596442483</v>
      </c>
      <c r="D11" s="3">
        <v>5.02015792507396</v>
      </c>
      <c r="E11" s="3">
        <v>3.608543915410069</v>
      </c>
      <c r="F11" s="3">
        <v>2.11826582626211</v>
      </c>
      <c r="G11" s="3">
        <f t="shared" si="1"/>
        <v>2.803941296</v>
      </c>
      <c r="H11" s="3">
        <v>0.01144819059080699</v>
      </c>
      <c r="I11" s="3">
        <v>-0.8232680964280114</v>
      </c>
      <c r="J11" s="3">
        <v>-0.7473884598459931</v>
      </c>
      <c r="K11" s="3">
        <v>-0.988551809409193</v>
      </c>
      <c r="L11" s="3">
        <v>-0.3926700169702195</v>
      </c>
      <c r="M11" s="3">
        <v>-0.6454508073035456</v>
      </c>
      <c r="N11" s="3">
        <v>-0.07170369356169254</v>
      </c>
    </row>
    <row r="12">
      <c r="A12" s="3">
        <v>70.64125191628244</v>
      </c>
      <c r="B12" s="3">
        <v>69.61075717801883</v>
      </c>
      <c r="C12" s="3">
        <v>38.86912749461764</v>
      </c>
      <c r="D12" s="3">
        <v>5.01444899652164</v>
      </c>
      <c r="E12" s="3">
        <v>3.568644384512031</v>
      </c>
      <c r="F12" s="3">
        <v>5.281951031422325</v>
      </c>
      <c r="G12" s="3">
        <f t="shared" si="1"/>
        <v>0.3597439089</v>
      </c>
      <c r="H12" s="3">
        <v>0.001727776532099258</v>
      </c>
      <c r="I12" s="3">
        <v>-0.9760146797500941</v>
      </c>
      <c r="J12" s="3">
        <v>-0.9987664405942955</v>
      </c>
      <c r="K12" s="3">
        <v>-0.9982722234679008</v>
      </c>
      <c r="L12" s="3">
        <v>-0.560176950141954</v>
      </c>
      <c r="M12" s="3">
        <v>-0.7186882772712261</v>
      </c>
      <c r="N12" s="3">
        <v>-0.01827826645239506</v>
      </c>
    </row>
    <row r="13">
      <c r="A13" s="3">
        <v>44.85569891314334</v>
      </c>
      <c r="B13" s="3">
        <v>65.66077547850932</v>
      </c>
      <c r="C13" s="3">
        <v>39.17195398259642</v>
      </c>
      <c r="D13" s="3">
        <v>5.05342095517511</v>
      </c>
      <c r="E13" s="3">
        <v>3.899781735361661</v>
      </c>
      <c r="F13" s="3">
        <v>2.975883950466547</v>
      </c>
      <c r="G13" s="3">
        <f t="shared" si="1"/>
        <v>1.946323172</v>
      </c>
      <c r="H13" s="3">
        <v>0.005361874334014922</v>
      </c>
      <c r="I13" s="3">
        <v>-0.9175985410762876</v>
      </c>
      <c r="J13" s="3">
        <v>-0.8956478037206403</v>
      </c>
      <c r="K13" s="3">
        <v>-0.9946381256659852</v>
      </c>
      <c r="L13" s="3">
        <v>-0.5522580402015376</v>
      </c>
      <c r="M13" s="3">
        <v>-0.7167293322219923</v>
      </c>
      <c r="N13" s="3">
        <v>-0.06687334798347354</v>
      </c>
    </row>
    <row r="14">
      <c r="A14" s="3">
        <v>79.42290039898565</v>
      </c>
      <c r="B14" s="3">
        <v>108.6179470347188</v>
      </c>
      <c r="C14" s="3">
        <v>33.46316741502529</v>
      </c>
      <c r="D14" s="3">
        <v>9.873881500838612</v>
      </c>
      <c r="E14" s="3">
        <v>3.44410500628125</v>
      </c>
      <c r="F14" s="3">
        <v>5.623916445873657</v>
      </c>
      <c r="G14" s="3">
        <f t="shared" si="1"/>
        <v>0.7017093234</v>
      </c>
      <c r="H14" s="3">
        <v>0.001493384118947689</v>
      </c>
      <c r="I14" s="3">
        <v>-0.9815611782227724</v>
      </c>
      <c r="J14" s="3">
        <v>-1.008040912389336</v>
      </c>
      <c r="K14" s="3">
        <v>-0.9985066158810523</v>
      </c>
      <c r="L14" s="3">
        <v>-0.2772777722367092</v>
      </c>
      <c r="M14" s="3">
        <v>-0.4682946041345309</v>
      </c>
      <c r="N14" s="3">
        <v>-0.04642427657027446</v>
      </c>
    </row>
    <row r="15">
      <c r="A15" s="3">
        <v>111.0021170932083</v>
      </c>
      <c r="B15" s="3">
        <v>66.64733615167896</v>
      </c>
      <c r="C15" s="3">
        <v>39.07103603748121</v>
      </c>
      <c r="D15" s="3">
        <v>5.03334706422384</v>
      </c>
      <c r="E15" s="3">
        <v>3.561756681163961</v>
      </c>
      <c r="F15" s="3">
        <v>9.264453122569382</v>
      </c>
      <c r="G15" s="3">
        <f t="shared" si="1"/>
        <v>4.342246</v>
      </c>
      <c r="H15" s="3">
        <v>6.312494020070484E-4</v>
      </c>
      <c r="I15" s="3">
        <v>-0.991973664817634</v>
      </c>
      <c r="J15" s="3">
        <v>-1.022655859361424</v>
      </c>
      <c r="K15" s="3">
        <v>-0.999368750597993</v>
      </c>
      <c r="L15" s="3">
        <v>-0.4507072233347549</v>
      </c>
      <c r="M15" s="3">
        <v>-0.7033946524297192</v>
      </c>
      <c r="N15" s="3">
        <v>-0.05692149482280415</v>
      </c>
    </row>
    <row r="16">
      <c r="A16" s="3">
        <v>54.67879269943295</v>
      </c>
      <c r="B16" s="3">
        <v>62.02847856908031</v>
      </c>
      <c r="C16" s="3">
        <v>39.16892583538322</v>
      </c>
      <c r="D16" s="3">
        <v>5.797450213042927</v>
      </c>
      <c r="E16" s="3">
        <v>3.605124950882036</v>
      </c>
      <c r="F16" s="3">
        <v>3.692371096896454</v>
      </c>
      <c r="G16" s="3">
        <f t="shared" si="1"/>
        <v>1.229836026</v>
      </c>
      <c r="H16" s="3">
        <v>0.003330920786477653</v>
      </c>
      <c r="I16" s="3">
        <v>-0.9521491932777161</v>
      </c>
      <c r="J16" s="3">
        <v>-0.9559401483264568</v>
      </c>
      <c r="K16" s="3">
        <v>-0.9966690792135222</v>
      </c>
      <c r="L16" s="3">
        <v>-0.3182590669919109</v>
      </c>
      <c r="M16" s="3">
        <v>-0.5887218838899536</v>
      </c>
      <c r="N16" s="3">
        <v>-0.0666826489017446</v>
      </c>
    </row>
    <row r="17">
      <c r="A17" s="3">
        <v>33.56374476238263</v>
      </c>
      <c r="B17" s="3">
        <v>83.9160859681582</v>
      </c>
      <c r="C17" s="3">
        <v>39.49589792698842</v>
      </c>
      <c r="D17" s="3">
        <v>5.346448370177063</v>
      </c>
      <c r="E17" s="3">
        <v>3.572888570551704</v>
      </c>
      <c r="F17" s="3">
        <v>1.972597889755888</v>
      </c>
      <c r="G17" s="3">
        <f t="shared" si="1"/>
        <v>2.949609233</v>
      </c>
      <c r="H17" s="3">
        <v>0.01289457116344748</v>
      </c>
      <c r="I17" s="3">
        <v>-0.8100610133643116</v>
      </c>
      <c r="J17" s="3">
        <v>-0.7286472437445407</v>
      </c>
      <c r="K17" s="3">
        <v>-0.9871054288365525</v>
      </c>
      <c r="L17" s="3">
        <v>-0.08525461273855926</v>
      </c>
      <c r="M17" s="3">
        <v>-0.6406640956768678</v>
      </c>
      <c r="N17" s="3">
        <v>-0.0812400790964874</v>
      </c>
    </row>
    <row r="18">
      <c r="A18" s="3">
        <v>35.96067429223574</v>
      </c>
      <c r="B18" s="3">
        <v>77.03201821640918</v>
      </c>
      <c r="C18" s="3">
        <v>38.86168895780083</v>
      </c>
      <c r="D18" s="3">
        <v>5.014438135725129</v>
      </c>
      <c r="E18" s="3">
        <v>3.534667326979456</v>
      </c>
      <c r="F18" s="3">
        <v>2.125506743027141</v>
      </c>
      <c r="G18" s="3">
        <f t="shared" si="1"/>
        <v>2.796700379</v>
      </c>
      <c r="H18" s="3">
        <v>0.01022311100565706</v>
      </c>
      <c r="I18" s="3">
        <v>-0.8448156319461415</v>
      </c>
      <c r="J18" s="3">
        <v>-0.7797787813088152</v>
      </c>
      <c r="K18" s="3">
        <v>-0.9897768889943428</v>
      </c>
      <c r="L18" s="3">
        <v>-0.1070635824804857</v>
      </c>
      <c r="M18" s="3">
        <v>-0.6613572870822289</v>
      </c>
      <c r="N18" s="3">
        <v>-0.01676291459843672</v>
      </c>
    </row>
    <row r="19">
      <c r="A19" s="3">
        <v>41.26068592107003</v>
      </c>
      <c r="B19" s="3">
        <v>59.90932715114158</v>
      </c>
      <c r="C19" s="3">
        <v>33.4809763517914</v>
      </c>
      <c r="D19" s="3">
        <v>5.014375293734595</v>
      </c>
      <c r="E19" s="3">
        <v>4.195171979060031</v>
      </c>
      <c r="F19" s="3">
        <v>2.599532244778873</v>
      </c>
      <c r="G19" s="3">
        <f t="shared" si="1"/>
        <v>2.322674878</v>
      </c>
      <c r="H19" s="3">
        <v>0.006784369894464621</v>
      </c>
      <c r="I19" s="3">
        <v>-0.8955179367358574</v>
      </c>
      <c r="J19" s="3">
        <v>-0.8590794852164214</v>
      </c>
      <c r="K19" s="3">
        <v>-0.9932156301055355</v>
      </c>
      <c r="L19" s="3">
        <v>-0.2645467205803615</v>
      </c>
      <c r="M19" s="3">
        <v>-0.6943501674463014</v>
      </c>
      <c r="N19" s="3">
        <v>-0.04958006505268044</v>
      </c>
    </row>
    <row r="20">
      <c r="A20" s="3">
        <v>38.72026642292614</v>
      </c>
      <c r="B20" s="3">
        <v>69.85050508009473</v>
      </c>
      <c r="C20" s="3">
        <v>39.13766251633233</v>
      </c>
      <c r="D20" s="3">
        <v>5.001409093958107</v>
      </c>
      <c r="E20" s="3">
        <v>3.355616148149149</v>
      </c>
      <c r="F20" s="3">
        <v>2.369267824974016</v>
      </c>
      <c r="G20" s="3">
        <f t="shared" si="1"/>
        <v>2.552939298</v>
      </c>
      <c r="H20" s="3">
        <v>0.008188185007865102</v>
      </c>
      <c r="I20" s="3">
        <v>-0.8746096246957793</v>
      </c>
      <c r="J20" s="3">
        <v>-0.8256743135297921</v>
      </c>
      <c r="K20" s="3">
        <v>-0.9918118149921348</v>
      </c>
      <c r="L20" s="3">
        <v>-0.2433064991663224</v>
      </c>
      <c r="M20" s="3">
        <v>-0.678535908450939</v>
      </c>
      <c r="N20" s="3">
        <v>-0.06471382578481717</v>
      </c>
    </row>
    <row r="21" ht="15.75" customHeight="1">
      <c r="A21" s="3">
        <v>37.40870721128806</v>
      </c>
      <c r="B21" s="3">
        <v>68.46701034624108</v>
      </c>
      <c r="C21" s="3">
        <v>38.86168895780083</v>
      </c>
      <c r="D21" s="3">
        <v>5.03222283253247</v>
      </c>
      <c r="E21" s="3">
        <v>3.461466866572495</v>
      </c>
      <c r="F21" s="3">
        <v>2.251925643880927</v>
      </c>
      <c r="G21" s="3">
        <f t="shared" si="1"/>
        <v>2.670281479</v>
      </c>
      <c r="H21" s="3">
        <v>0.009075397702334844</v>
      </c>
      <c r="I21" s="3">
        <v>-0.8615302668157753</v>
      </c>
      <c r="J21" s="3">
        <v>-0.8052946665473093</v>
      </c>
      <c r="K21" s="3">
        <v>-0.9909246022976652</v>
      </c>
      <c r="L21" s="3">
        <v>-0.1836197179485679</v>
      </c>
      <c r="M21" s="3">
        <v>-0.670371376146037</v>
      </c>
      <c r="N21" s="3">
        <v>-0.01676291459843672</v>
      </c>
    </row>
    <row r="22" ht="15.75" customHeight="1">
      <c r="A22" s="3">
        <v>52.69638146385206</v>
      </c>
      <c r="B22" s="3">
        <v>69.321396529483</v>
      </c>
      <c r="C22" s="3">
        <v>39.67374532104945</v>
      </c>
      <c r="D22" s="3">
        <v>6.077272123381539</v>
      </c>
      <c r="E22" s="3">
        <v>3.741448026469035</v>
      </c>
      <c r="F22" s="3">
        <v>3.356676763497395</v>
      </c>
      <c r="G22" s="3">
        <f t="shared" si="1"/>
        <v>1.565530359</v>
      </c>
      <c r="H22" s="3">
        <v>0.003786991185816044</v>
      </c>
      <c r="I22" s="3">
        <v>-0.9467329707487923</v>
      </c>
      <c r="J22" s="3">
        <v>-0.946424892399515</v>
      </c>
      <c r="K22" s="3">
        <v>-0.9962130088141841</v>
      </c>
      <c r="L22" s="3">
        <v>-0.08222969944837799</v>
      </c>
      <c r="M22" s="3">
        <v>-0.5999072391560103</v>
      </c>
      <c r="N22" s="3">
        <v>-0.08745971104647027</v>
      </c>
    </row>
    <row r="23" ht="15.75" customHeight="1">
      <c r="A23" s="3">
        <v>34.37296469249391</v>
      </c>
      <c r="B23" s="3">
        <v>69.32776961627702</v>
      </c>
      <c r="C23" s="3">
        <v>38.86168895780083</v>
      </c>
      <c r="D23" s="3">
        <v>5.014438135725129</v>
      </c>
      <c r="E23" s="3">
        <v>3.895545971904771</v>
      </c>
      <c r="F23" s="3">
        <v>1.99491478434492</v>
      </c>
      <c r="G23" s="3">
        <f t="shared" si="1"/>
        <v>2.927292338</v>
      </c>
      <c r="H23" s="3">
        <v>0.0117478021751971</v>
      </c>
      <c r="I23" s="3">
        <v>-0.8231224409329962</v>
      </c>
      <c r="J23" s="3">
        <v>-0.7474776166836665</v>
      </c>
      <c r="K23" s="3">
        <v>-0.988252197824803</v>
      </c>
      <c r="L23" s="3">
        <v>-0.02947018562354315</v>
      </c>
      <c r="M23" s="3">
        <v>-0.6514737025647561</v>
      </c>
      <c r="N23" s="3">
        <v>-0.01676291459843672</v>
      </c>
    </row>
    <row r="24" ht="15.75" customHeight="1">
      <c r="A24" s="3">
        <v>140.9444729978447</v>
      </c>
      <c r="B24" s="3">
        <v>83.77133623567391</v>
      </c>
      <c r="C24" s="3">
        <v>39.14466572233166</v>
      </c>
      <c r="D24" s="3">
        <v>11.1755215827899</v>
      </c>
      <c r="E24" s="3">
        <v>3.83725347542892</v>
      </c>
      <c r="F24" s="3">
        <v>10.66921029664594</v>
      </c>
      <c r="G24" s="3">
        <f t="shared" si="1"/>
        <v>5.747003174</v>
      </c>
      <c r="H24" s="3">
        <v>4.17406726341602E-4</v>
      </c>
      <c r="I24" s="3">
        <v>-0.9949045839635594</v>
      </c>
      <c r="J24" s="3">
        <v>-1.022461305437681</v>
      </c>
      <c r="K24" s="3">
        <v>-0.9995825932736584</v>
      </c>
      <c r="L24" s="3">
        <v>-0.02029755515870534</v>
      </c>
      <c r="M24" s="3">
        <v>-0.1538200551247954</v>
      </c>
      <c r="N24" s="3">
        <v>-0.06515485617706848</v>
      </c>
    </row>
    <row r="25" ht="15.75" customHeight="1">
      <c r="A25" s="3">
        <v>30.1895762911288</v>
      </c>
      <c r="B25" s="3">
        <v>67.21559415845616</v>
      </c>
      <c r="C25" s="3">
        <v>39.75382581521797</v>
      </c>
      <c r="D25" s="3">
        <v>5.310436635482583</v>
      </c>
      <c r="E25" s="3">
        <v>3.919175369022109</v>
      </c>
      <c r="F25" s="3">
        <v>1.736728227629645</v>
      </c>
      <c r="G25" s="3">
        <f t="shared" si="1"/>
        <v>3.185478895</v>
      </c>
      <c r="H25" s="3">
        <v>0.01800300494382549</v>
      </c>
      <c r="I25" s="3">
        <v>-0.7414389946516272</v>
      </c>
      <c r="J25" s="3">
        <v>-0.632773189502024</v>
      </c>
      <c r="K25" s="3">
        <v>-0.9819969950561745</v>
      </c>
      <c r="L25" s="3">
        <v>-0.001047268750516245</v>
      </c>
      <c r="M25" s="3">
        <v>-0.6289409265915027</v>
      </c>
      <c r="N25" s="3">
        <v>-0.089301172523299</v>
      </c>
    </row>
    <row r="26" ht="15.75" customHeight="1">
      <c r="A26" s="3">
        <v>47.02415509779606</v>
      </c>
      <c r="B26" s="3">
        <v>69.22807961079036</v>
      </c>
      <c r="C26" s="3">
        <v>39.25480910507095</v>
      </c>
      <c r="D26" s="3">
        <v>5.014931439759919</v>
      </c>
      <c r="E26" s="3">
        <v>3.781446084633926</v>
      </c>
      <c r="F26" s="3">
        <v>3.025871459654232</v>
      </c>
      <c r="G26" s="3">
        <f t="shared" si="1"/>
        <v>1.896335663</v>
      </c>
      <c r="H26" s="3">
        <v>0.004811384660673815</v>
      </c>
      <c r="I26" s="3">
        <v>-0.9276390161571558</v>
      </c>
      <c r="J26" s="3">
        <v>-0.9128516827616038</v>
      </c>
      <c r="K26" s="3">
        <v>-0.9951886153393261</v>
      </c>
      <c r="L26" s="3">
        <v>-0.2146886291591369</v>
      </c>
      <c r="M26" s="3">
        <v>-0.674368455144923</v>
      </c>
      <c r="N26" s="3">
        <v>-0.07209119066416068</v>
      </c>
    </row>
    <row r="27" ht="15.75" customHeight="1">
      <c r="A27" s="3">
        <v>93.37374320476172</v>
      </c>
      <c r="B27" s="3">
        <v>84.94864467533208</v>
      </c>
      <c r="C27" s="3">
        <v>39.14866753062101</v>
      </c>
      <c r="D27" s="3">
        <v>6.856936352077122</v>
      </c>
      <c r="E27" s="3">
        <v>3.811971697829518</v>
      </c>
      <c r="F27" s="3">
        <v>6.962342869562752</v>
      </c>
      <c r="G27" s="3">
        <f t="shared" si="1"/>
        <v>2.040135747</v>
      </c>
      <c r="H27" s="3">
        <v>9.565573151029008E-4</v>
      </c>
      <c r="I27" s="3">
        <v>-0.9878724696446407</v>
      </c>
      <c r="J27" s="3">
        <v>-1.01789323909896</v>
      </c>
      <c r="K27" s="3">
        <v>-0.9990434426848971</v>
      </c>
      <c r="L27" s="3">
        <v>-0.1549608268136308</v>
      </c>
      <c r="M27" s="3">
        <v>-0.572508372685115</v>
      </c>
      <c r="N27" s="3">
        <v>-0.06540687205090326</v>
      </c>
    </row>
    <row r="28" ht="15.75" customHeight="1">
      <c r="A28" s="3">
        <v>32.20019157796825</v>
      </c>
      <c r="B28" s="3">
        <v>83.7841570829237</v>
      </c>
      <c r="C28" s="3">
        <v>38.7815570637433</v>
      </c>
      <c r="D28" s="3">
        <v>5.282474919791635</v>
      </c>
      <c r="E28" s="3">
        <v>3.486757930923754</v>
      </c>
      <c r="F28" s="3">
        <v>1.857201255689952</v>
      </c>
      <c r="G28" s="3">
        <f t="shared" si="1"/>
        <v>3.065005867</v>
      </c>
      <c r="H28" s="3">
        <v>0.01456735713285765</v>
      </c>
      <c r="I28" s="3">
        <v>-0.7859036233314052</v>
      </c>
      <c r="J28" s="3">
        <v>-0.6940481759420443</v>
      </c>
      <c r="K28" s="3">
        <v>-0.9854326428671423</v>
      </c>
      <c r="L28" s="3">
        <v>-0.02764922753357344</v>
      </c>
      <c r="M28" s="3">
        <v>-0.6379480636707175</v>
      </c>
      <c r="N28" s="3">
        <v>-4.387345598369082E-4</v>
      </c>
    </row>
    <row r="29" ht="15.75" customHeight="1">
      <c r="A29" s="3">
        <v>45.2240740248971</v>
      </c>
      <c r="B29" s="3">
        <v>77.13977590759959</v>
      </c>
      <c r="C29" s="3">
        <v>39.16648154145933</v>
      </c>
      <c r="D29" s="3">
        <v>6.630203063306995</v>
      </c>
      <c r="E29" s="3">
        <v>4.04134633195795</v>
      </c>
      <c r="F29" s="3">
        <v>2.745313930338356</v>
      </c>
      <c r="G29" s="3">
        <f t="shared" si="1"/>
        <v>2.176893192</v>
      </c>
      <c r="H29" s="3">
        <v>0.005940958092866095</v>
      </c>
      <c r="I29" s="3">
        <v>-0.9179728038185908</v>
      </c>
      <c r="J29" s="3">
        <v>-0.8970324028350386</v>
      </c>
      <c r="K29" s="3">
        <v>-0.994059041907134</v>
      </c>
      <c r="L29" s="3">
        <v>-0.02416897554653816</v>
      </c>
      <c r="M29" s="3">
        <v>-0.5559391063516667</v>
      </c>
      <c r="N29" s="3">
        <v>-0.0665287182722391</v>
      </c>
    </row>
    <row r="30" ht="15.75" customHeight="1">
      <c r="A30" s="3">
        <v>32.48786578593011</v>
      </c>
      <c r="B30" s="3">
        <v>83.9160859681582</v>
      </c>
      <c r="C30" s="3">
        <v>39.49589792698842</v>
      </c>
      <c r="D30" s="3">
        <v>5.346448370177063</v>
      </c>
      <c r="E30" s="3">
        <v>3.572888570551704</v>
      </c>
      <c r="F30" s="3">
        <v>1.898788798414622</v>
      </c>
      <c r="G30" s="3">
        <f t="shared" si="1"/>
        <v>3.023418324</v>
      </c>
      <c r="H30" s="3">
        <v>0.01424842705070654</v>
      </c>
      <c r="I30" s="3">
        <v>-0.791245778702025</v>
      </c>
      <c r="J30" s="3">
        <v>-0.7016757423801888</v>
      </c>
      <c r="K30" s="3">
        <v>-0.9857515729492935</v>
      </c>
      <c r="L30" s="3">
        <v>-0.07998784371403496</v>
      </c>
      <c r="M30" s="3">
        <v>-0.6397388523315347</v>
      </c>
      <c r="N30" s="3">
        <v>-0.0812400790964874</v>
      </c>
    </row>
    <row r="31" ht="15.75" customHeight="1">
      <c r="A31" s="3">
        <v>116.9580076595571</v>
      </c>
      <c r="B31" s="3">
        <v>62.02847856908031</v>
      </c>
      <c r="C31" s="3">
        <v>39.16754076388018</v>
      </c>
      <c r="D31" s="3">
        <v>5.448190693791719</v>
      </c>
      <c r="E31" s="3">
        <v>3.605124950882036</v>
      </c>
      <c r="F31" s="3">
        <v>10.26977400900153</v>
      </c>
      <c r="G31" s="3">
        <f t="shared" si="1"/>
        <v>5.347566887</v>
      </c>
      <c r="H31" s="3">
        <v>5.626786284118355E-4</v>
      </c>
      <c r="I31" s="3">
        <v>-0.9928562347953076</v>
      </c>
      <c r="J31" s="3">
        <v>-1.023262585045903</v>
      </c>
      <c r="K31" s="3">
        <v>-0.999437321371588</v>
      </c>
      <c r="L31" s="3">
        <v>-0.8246094614422589</v>
      </c>
      <c r="M31" s="3">
        <v>-0.6335114064051716</v>
      </c>
      <c r="N31" s="3">
        <v>-0.0665954233327207</v>
      </c>
    </row>
    <row r="32" ht="15.75" customHeight="1">
      <c r="A32" s="3">
        <v>66.73899034259466</v>
      </c>
      <c r="B32" s="3">
        <v>94.58589327330755</v>
      </c>
      <c r="C32" s="3">
        <v>39.35426071343029</v>
      </c>
      <c r="D32" s="3">
        <v>8.847450462416841</v>
      </c>
      <c r="E32" s="3">
        <v>3.864126796713901</v>
      </c>
      <c r="F32" s="3">
        <v>4.524585391704249</v>
      </c>
      <c r="G32" s="3">
        <f t="shared" si="1"/>
        <v>0.3976217308</v>
      </c>
      <c r="H32" s="3">
        <v>0.00228225983441645</v>
      </c>
      <c r="I32" s="3">
        <v>-0.9711925413560483</v>
      </c>
      <c r="J32" s="3">
        <v>-0.9902019919738094</v>
      </c>
      <c r="K32" s="3">
        <v>-0.9977177401655835</v>
      </c>
      <c r="L32" s="3">
        <v>-0.2437513828225286</v>
      </c>
      <c r="M32" s="3">
        <v>-0.4696637857925284</v>
      </c>
      <c r="N32" s="3">
        <v>-0.0762867799862939</v>
      </c>
    </row>
    <row r="33" ht="15.75" customHeight="1">
      <c r="A33" s="3">
        <v>114.1932446716069</v>
      </c>
      <c r="B33" s="3">
        <v>55.79734621061813</v>
      </c>
      <c r="C33" s="3">
        <v>39.1436759875148</v>
      </c>
      <c r="D33" s="3">
        <v>5.000016242535604</v>
      </c>
      <c r="E33" s="3">
        <v>3.531940697792171</v>
      </c>
      <c r="F33" s="3">
        <v>9.7657379189558</v>
      </c>
      <c r="G33" s="3">
        <f t="shared" si="1"/>
        <v>4.843530796</v>
      </c>
      <c r="H33" s="3">
        <v>5.923617978457475E-4</v>
      </c>
      <c r="I33" s="3">
        <v>-0.9924709776071746</v>
      </c>
      <c r="J33" s="3">
        <v>-1.023031134116793</v>
      </c>
      <c r="K33" s="3">
        <v>-0.9994076382021541</v>
      </c>
      <c r="L33" s="3">
        <v>-0.6311974743478359</v>
      </c>
      <c r="M33" s="3">
        <v>-0.6944578038232009</v>
      </c>
      <c r="N33" s="3">
        <v>-0.06509252713312104</v>
      </c>
    </row>
    <row r="34" ht="15.75" customHeight="1">
      <c r="A34" s="3">
        <v>39.89571067637189</v>
      </c>
      <c r="B34" s="3">
        <v>69.32805637559389</v>
      </c>
      <c r="C34" s="3">
        <v>38.86168895780083</v>
      </c>
      <c r="D34" s="3">
        <v>5.014438135725129</v>
      </c>
      <c r="E34" s="3">
        <v>3.535427436297415</v>
      </c>
      <c r="F34" s="3">
        <v>2.474585299527108</v>
      </c>
      <c r="G34" s="3">
        <f t="shared" si="1"/>
        <v>2.447621823</v>
      </c>
      <c r="H34" s="3">
        <v>0.007491399356525271</v>
      </c>
      <c r="I34" s="3">
        <v>-0.8849378853518591</v>
      </c>
      <c r="J34" s="3">
        <v>-0.8420412113015465</v>
      </c>
      <c r="K34" s="3">
        <v>-0.9925086006434749</v>
      </c>
      <c r="L34" s="3">
        <v>-0.2993521062901883</v>
      </c>
      <c r="M34" s="3">
        <v>-0.6858531172316867</v>
      </c>
      <c r="N34" s="3">
        <v>-0.01676291459843672</v>
      </c>
    </row>
    <row r="35" ht="15.75" customHeight="1">
      <c r="A35" s="3">
        <v>32.94745154656028</v>
      </c>
      <c r="B35" s="3">
        <v>63.77344004097203</v>
      </c>
      <c r="C35" s="3">
        <v>39.71304917323445</v>
      </c>
      <c r="D35" s="3">
        <v>5.000636965807123</v>
      </c>
      <c r="E35" s="3">
        <v>3.957808130226</v>
      </c>
      <c r="F35" s="3">
        <v>1.90221600306289</v>
      </c>
      <c r="G35" s="3">
        <f t="shared" si="1"/>
        <v>3.019991119</v>
      </c>
      <c r="H35" s="3">
        <v>0.0134245717938359</v>
      </c>
      <c r="I35" s="3">
        <v>-0.7999289871125713</v>
      </c>
      <c r="J35" s="3">
        <v>-0.7138582592891131</v>
      </c>
      <c r="K35" s="3">
        <v>-0.986575428206164</v>
      </c>
      <c r="L35" s="3">
        <v>-0.004936272648416696</v>
      </c>
      <c r="M35" s="3">
        <v>-0.6460373059167682</v>
      </c>
      <c r="N35" s="3">
        <v>-0.0888342349527543</v>
      </c>
    </row>
    <row r="36" ht="15.75" customHeight="1">
      <c r="A36" s="3">
        <v>50.23246285133959</v>
      </c>
      <c r="B36" s="3">
        <v>75.43309480384333</v>
      </c>
      <c r="C36" s="3">
        <v>39.71736398470139</v>
      </c>
      <c r="D36" s="3">
        <v>6.12881383122442</v>
      </c>
      <c r="E36" s="3">
        <v>4.065791241793798</v>
      </c>
      <c r="F36" s="3">
        <v>3.126686524494977</v>
      </c>
      <c r="G36" s="3">
        <f t="shared" si="1"/>
        <v>1.795520598</v>
      </c>
      <c r="H36" s="3">
        <v>0.004339488516554009</v>
      </c>
      <c r="I36" s="3">
        <v>-0.9390966736244296</v>
      </c>
      <c r="J36" s="3">
        <v>-0.9330484992666975</v>
      </c>
      <c r="K36" s="3">
        <v>-0.995660511483446</v>
      </c>
      <c r="L36" s="3">
        <v>-0.01434833895974308</v>
      </c>
      <c r="M36" s="3">
        <v>-0.5835466668499071</v>
      </c>
      <c r="N36" s="3">
        <v>-0.08898513139630157</v>
      </c>
    </row>
    <row r="37" ht="15.75" customHeight="1">
      <c r="A37" s="3">
        <v>35.96067429223574</v>
      </c>
      <c r="B37" s="3">
        <v>69.4944555109121</v>
      </c>
      <c r="C37" s="3">
        <v>38.86168895780083</v>
      </c>
      <c r="D37" s="3">
        <v>5.014438135725129</v>
      </c>
      <c r="E37" s="3">
        <v>3.534667326979456</v>
      </c>
      <c r="F37" s="3">
        <v>2.125506743027141</v>
      </c>
      <c r="G37" s="3">
        <f t="shared" si="1"/>
        <v>2.796700379</v>
      </c>
      <c r="H37" s="3">
        <v>0.01022311100565706</v>
      </c>
      <c r="I37" s="3">
        <v>-0.8448156319461415</v>
      </c>
      <c r="J37" s="3">
        <v>-0.7797787813088152</v>
      </c>
      <c r="K37" s="3">
        <v>-0.9897768889943428</v>
      </c>
      <c r="L37" s="3">
        <v>-0.1070635824804857</v>
      </c>
      <c r="M37" s="3">
        <v>-0.6613572870822289</v>
      </c>
      <c r="N37" s="3">
        <v>-0.01676291459843672</v>
      </c>
    </row>
    <row r="38" ht="15.75" customHeight="1">
      <c r="A38" s="3">
        <v>66.73899034259466</v>
      </c>
      <c r="B38" s="3">
        <v>97.13911152011073</v>
      </c>
      <c r="C38" s="3">
        <v>33.56551952855406</v>
      </c>
      <c r="D38" s="3">
        <v>9.397048397181981</v>
      </c>
      <c r="E38" s="3">
        <v>3.834397526281164</v>
      </c>
      <c r="F38" s="3">
        <v>4.32827822191328</v>
      </c>
      <c r="G38" s="3">
        <f t="shared" si="1"/>
        <v>0.5939289006</v>
      </c>
      <c r="H38" s="3">
        <v>0.002366094368985108</v>
      </c>
      <c r="I38" s="3">
        <v>-0.9709269875780997</v>
      </c>
      <c r="J38" s="3">
        <v>-0.9897375091041565</v>
      </c>
      <c r="K38" s="3">
        <v>-0.9976339056310148</v>
      </c>
      <c r="L38" s="3">
        <v>-0.01700949771812419</v>
      </c>
      <c r="M38" s="3">
        <v>-0.3949966586680841</v>
      </c>
      <c r="N38" s="3">
        <v>-0.06278696728755653</v>
      </c>
    </row>
    <row r="39" ht="15.75" customHeight="1">
      <c r="A39" s="3">
        <v>93.65785353777444</v>
      </c>
      <c r="B39" s="3">
        <v>81.07299172010092</v>
      </c>
      <c r="C39" s="3">
        <v>39.60920683262932</v>
      </c>
      <c r="D39" s="3">
        <v>6.762672757486939</v>
      </c>
      <c r="E39" s="3">
        <v>3.726207576707891</v>
      </c>
      <c r="F39" s="3">
        <v>6.997816031864772</v>
      </c>
      <c r="G39" s="3">
        <f t="shared" si="1"/>
        <v>2.075608909</v>
      </c>
      <c r="H39" s="3">
        <v>9.494421765877207E-4</v>
      </c>
      <c r="I39" s="3">
        <v>-0.9879626390443323</v>
      </c>
      <c r="J39" s="3">
        <v>-1.018017520187938</v>
      </c>
      <c r="K39" s="3">
        <v>-0.9990505578234122</v>
      </c>
      <c r="L39" s="3">
        <v>-0.1503077768209118</v>
      </c>
      <c r="M39" s="3">
        <v>-0.5746306966837166</v>
      </c>
      <c r="N39" s="3">
        <v>-0.08520268812690063</v>
      </c>
    </row>
    <row r="40" ht="15.75" customHeight="1">
      <c r="A40" s="3">
        <v>30.36139446689958</v>
      </c>
      <c r="B40" s="3">
        <v>65.66077547850932</v>
      </c>
      <c r="C40" s="3">
        <v>39.24841709892768</v>
      </c>
      <c r="D40" s="3">
        <v>5.053054425026448</v>
      </c>
      <c r="E40" s="3">
        <v>3.899781735361661</v>
      </c>
      <c r="F40" s="3">
        <v>1.751095052071879</v>
      </c>
      <c r="G40" s="3">
        <f t="shared" si="1"/>
        <v>3.17111207</v>
      </c>
      <c r="H40" s="3">
        <v>0.01715975512765833</v>
      </c>
      <c r="I40" s="3">
        <v>-0.7464364943756215</v>
      </c>
      <c r="J40" s="3">
        <v>-0.6391237332537097</v>
      </c>
      <c r="K40" s="3">
        <v>-0.9828402448723419</v>
      </c>
      <c r="L40" s="3">
        <v>-0.05520844875704155</v>
      </c>
      <c r="M40" s="3">
        <v>-0.6510104122106581</v>
      </c>
      <c r="N40" s="3">
        <v>-0.07168865088782075</v>
      </c>
    </row>
    <row r="41" ht="15.75" customHeight="1">
      <c r="A41" s="5">
        <v>73.4313819103098</v>
      </c>
      <c r="B41" s="5">
        <v>111.6684042758678</v>
      </c>
      <c r="C41" s="5">
        <v>39.09630364084132</v>
      </c>
      <c r="D41" s="5">
        <v>8.443846251956517</v>
      </c>
      <c r="E41" s="5">
        <v>3.577612169070255</v>
      </c>
      <c r="F41" s="5">
        <v>4.822344794075195</v>
      </c>
      <c r="G41" s="5">
        <f t="shared" si="1"/>
        <v>0.09986232842</v>
      </c>
      <c r="H41" s="5">
        <v>0.001803115480322303</v>
      </c>
      <c r="I41" s="5">
        <v>-0.9775133739129411</v>
      </c>
      <c r="J41" s="5">
        <v>-1.001244354437168</v>
      </c>
      <c r="K41" s="5">
        <v>-0.9981968845196776</v>
      </c>
      <c r="L41" s="5">
        <v>-0.03042202222809221</v>
      </c>
      <c r="M41" s="5">
        <v>-0.4235375432358953</v>
      </c>
      <c r="N41" s="5">
        <v>-0.06020405009222426</v>
      </c>
    </row>
    <row r="42" ht="15.75" customHeight="1">
      <c r="A42" s="3">
        <v>107.9798770576946</v>
      </c>
      <c r="B42" s="3">
        <v>90.2805684889625</v>
      </c>
      <c r="C42" s="3">
        <v>39.35875984675275</v>
      </c>
      <c r="D42" s="3">
        <v>5.000664085081587</v>
      </c>
      <c r="E42" s="3">
        <v>3.726971222479825</v>
      </c>
      <c r="F42" s="3">
        <v>8.8005852325189</v>
      </c>
      <c r="G42" s="3">
        <f t="shared" si="1"/>
        <v>3.87837811</v>
      </c>
      <c r="H42" s="3">
        <v>6.717929541190339E-4</v>
      </c>
      <c r="I42" s="3">
        <v>-0.9914516834438096</v>
      </c>
      <c r="J42" s="3">
        <v>-1.02220265178595</v>
      </c>
      <c r="K42" s="3">
        <v>-0.9993282070458809</v>
      </c>
      <c r="L42" s="3">
        <v>-0.2716208814484802</v>
      </c>
      <c r="M42" s="3">
        <v>-0.6816172110513664</v>
      </c>
      <c r="N42" s="3">
        <v>-0.07644412248494259</v>
      </c>
    </row>
    <row r="43" ht="15.75" customHeight="1">
      <c r="A43" s="3">
        <v>42.61036304705143</v>
      </c>
      <c r="B43" s="3">
        <v>69.4944555109121</v>
      </c>
      <c r="C43" s="3">
        <v>38.86168895780083</v>
      </c>
      <c r="D43" s="3">
        <v>5.014438135725129</v>
      </c>
      <c r="E43" s="3">
        <v>3.534667326979456</v>
      </c>
      <c r="F43" s="3">
        <v>2.736513597467471</v>
      </c>
      <c r="G43" s="3">
        <f t="shared" si="1"/>
        <v>2.185693525</v>
      </c>
      <c r="H43" s="3">
        <v>0.006190446781176735</v>
      </c>
      <c r="I43" s="3">
        <v>-0.9046759295949637</v>
      </c>
      <c r="J43" s="3">
        <v>-0.8740801196468737</v>
      </c>
      <c r="K43" s="3">
        <v>-0.9938095532188232</v>
      </c>
      <c r="L43" s="3">
        <v>-0.4319875922135397</v>
      </c>
      <c r="M43" s="3">
        <v>-0.7027519859829569</v>
      </c>
      <c r="N43" s="3">
        <v>-0.01676291459843672</v>
      </c>
    </row>
    <row r="44" ht="15.75" customHeight="1">
      <c r="A44" s="3">
        <v>38.04871581866792</v>
      </c>
      <c r="B44" s="3">
        <v>64.91038425023066</v>
      </c>
      <c r="C44" s="3">
        <v>33.47141030857424</v>
      </c>
      <c r="D44" s="3">
        <v>5.033935158809461</v>
      </c>
      <c r="E44" s="3">
        <v>3.561756681163961</v>
      </c>
      <c r="F44" s="3">
        <v>2.303826255353882</v>
      </c>
      <c r="G44" s="3">
        <f t="shared" si="1"/>
        <v>2.618380867</v>
      </c>
      <c r="H44" s="3">
        <v>0.008614823983718819</v>
      </c>
      <c r="I44" s="3">
        <v>-0.8681555945817042</v>
      </c>
      <c r="J44" s="3">
        <v>-0.81555896655423</v>
      </c>
      <c r="K44" s="3">
        <v>-0.9913851760162813</v>
      </c>
      <c r="L44" s="3">
        <v>-0.0892793423233251</v>
      </c>
      <c r="M44" s="3">
        <v>-0.6743554669167785</v>
      </c>
      <c r="N44" s="3">
        <v>-0.04788493808337257</v>
      </c>
    </row>
    <row r="45" ht="15.75" customHeight="1">
      <c r="A45" s="3">
        <v>76.34748179068646</v>
      </c>
      <c r="B45" s="3">
        <v>73.98371675138434</v>
      </c>
      <c r="C45" s="3">
        <v>32.7396872814459</v>
      </c>
      <c r="D45" s="3">
        <v>5.022721675982247</v>
      </c>
      <c r="E45" s="3">
        <v>3.554578041986783</v>
      </c>
      <c r="F45" s="3">
        <v>6.020369750937761</v>
      </c>
      <c r="G45" s="3">
        <f t="shared" si="1"/>
        <v>1.098162628</v>
      </c>
      <c r="H45" s="3">
        <v>0.001434539715949326</v>
      </c>
      <c r="I45" s="3">
        <v>-0.9803868650666617</v>
      </c>
      <c r="J45" s="3">
        <v>-1.006357827319975</v>
      </c>
      <c r="K45" s="3">
        <v>-0.9985654602840508</v>
      </c>
      <c r="L45" s="3">
        <v>-0.7327372140836316</v>
      </c>
      <c r="M45" s="3">
        <v>-0.6158008972340124</v>
      </c>
      <c r="N45" s="3">
        <v>-0.007706805250791242</v>
      </c>
    </row>
    <row r="46" ht="15.75" customHeight="1">
      <c r="A46" s="3">
        <v>66.73899034259466</v>
      </c>
      <c r="B46" s="3">
        <v>63.93840221580344</v>
      </c>
      <c r="C46" s="3">
        <v>39.35995007322737</v>
      </c>
      <c r="D46" s="3">
        <v>5.095931228925352</v>
      </c>
      <c r="E46" s="3">
        <v>3.87270873675743</v>
      </c>
      <c r="F46" s="3">
        <v>4.798239436061243</v>
      </c>
      <c r="G46" s="3">
        <f t="shared" si="1"/>
        <v>0.1239676864</v>
      </c>
      <c r="H46" s="3">
        <v>0.001992411210564499</v>
      </c>
      <c r="I46" s="3">
        <v>-0.9721187070088769</v>
      </c>
      <c r="J46" s="3">
        <v>-0.9918365304247333</v>
      </c>
      <c r="K46" s="3">
        <v>-0.9980075887894356</v>
      </c>
      <c r="L46" s="3">
        <v>-0.3849455469358052</v>
      </c>
      <c r="M46" s="3">
        <v>-0.693151032502221</v>
      </c>
      <c r="N46" s="3">
        <v>-0.07648574676989969</v>
      </c>
    </row>
    <row r="47" ht="15.75" customHeight="1">
      <c r="A47" s="3">
        <v>60.41911677558856</v>
      </c>
      <c r="B47" s="3">
        <v>85.11584303312071</v>
      </c>
      <c r="C47" s="3">
        <v>39.14789193151204</v>
      </c>
      <c r="D47" s="3">
        <v>5.039243212987607</v>
      </c>
      <c r="E47" s="3">
        <v>3.468926565331757</v>
      </c>
      <c r="F47" s="3">
        <v>4.036016859194061</v>
      </c>
      <c r="G47" s="3">
        <f t="shared" si="1"/>
        <v>0.8861902633</v>
      </c>
      <c r="H47" s="3">
        <v>0.002563779017008443</v>
      </c>
      <c r="I47" s="3">
        <v>-0.9635839165989286</v>
      </c>
      <c r="J47" s="3">
        <v>-0.9764732931586868</v>
      </c>
      <c r="K47" s="3">
        <v>-0.9974362209829916</v>
      </c>
      <c r="L47" s="3">
        <v>-0.04385947580722491</v>
      </c>
      <c r="M47" s="3">
        <v>-0.6511866802978274</v>
      </c>
      <c r="N47" s="3">
        <v>-0.06535802831000902</v>
      </c>
    </row>
    <row r="48" ht="15.75" customHeight="1">
      <c r="A48" s="3">
        <v>79.91731991250838</v>
      </c>
      <c r="B48" s="3">
        <v>74.01111249409122</v>
      </c>
      <c r="C48" s="3">
        <v>32.7396872814459</v>
      </c>
      <c r="D48" s="3">
        <v>5.223764431393819</v>
      </c>
      <c r="E48" s="3">
        <v>3.552901566721079</v>
      </c>
      <c r="F48" s="3">
        <v>6.096325732209603</v>
      </c>
      <c r="G48" s="3">
        <f t="shared" si="1"/>
        <v>1.17411861</v>
      </c>
      <c r="H48" s="3">
        <v>0.001311362428826765</v>
      </c>
      <c r="I48" s="3">
        <v>-0.9824531311810094</v>
      </c>
      <c r="J48" s="3">
        <v>-1.009779265485615</v>
      </c>
      <c r="K48" s="3">
        <v>-0.998688637571173</v>
      </c>
      <c r="L48" s="3">
        <v>-0.1546497088856194</v>
      </c>
      <c r="M48" s="3">
        <v>-0.4941886506148486</v>
      </c>
      <c r="N48" s="3">
        <v>-0.007706805250791242</v>
      </c>
    </row>
    <row r="49" ht="15.75" customHeight="1">
      <c r="A49" s="3">
        <v>113.1254268932446</v>
      </c>
      <c r="B49" s="3">
        <v>83.70066677211163</v>
      </c>
      <c r="C49" s="3">
        <v>39.14998146570926</v>
      </c>
      <c r="D49" s="3">
        <v>5.222770209918411</v>
      </c>
      <c r="E49" s="3">
        <v>3.440735897090262</v>
      </c>
      <c r="F49" s="3">
        <v>9.622959345215902</v>
      </c>
      <c r="G49" s="3">
        <f t="shared" si="1"/>
        <v>4.700752223</v>
      </c>
      <c r="H49" s="3">
        <v>6.055771960107489E-4</v>
      </c>
      <c r="I49" s="3">
        <v>-0.9923069372314262</v>
      </c>
      <c r="J49" s="3">
        <v>-1.022906490326219</v>
      </c>
      <c r="K49" s="3">
        <v>-0.9993944228039892</v>
      </c>
      <c r="L49" s="3">
        <v>-0.6046964935101343</v>
      </c>
      <c r="M49" s="3">
        <v>-0.7073232426012608</v>
      </c>
      <c r="N49" s="3">
        <v>-0.06548961776870996</v>
      </c>
    </row>
    <row r="50" ht="15.75" customHeight="1">
      <c r="A50" s="3">
        <v>40.34598855432255</v>
      </c>
      <c r="B50" s="3">
        <v>69.22807961079036</v>
      </c>
      <c r="C50" s="3">
        <v>39.14791731649792</v>
      </c>
      <c r="D50" s="3">
        <v>5.067528352784917</v>
      </c>
      <c r="E50" s="3">
        <v>3.781446084633926</v>
      </c>
      <c r="F50" s="3">
        <v>2.527895415272984</v>
      </c>
      <c r="G50" s="3">
        <f t="shared" si="1"/>
        <v>2.394311707</v>
      </c>
      <c r="H50" s="3">
        <v>0.007267038437567775</v>
      </c>
      <c r="I50" s="3">
        <v>-0.8885461019646773</v>
      </c>
      <c r="J50" s="3">
        <v>-0.8478411349944021</v>
      </c>
      <c r="K50" s="3">
        <v>-0.9927329615624322</v>
      </c>
      <c r="L50" s="3">
        <v>-0.3403041975749656</v>
      </c>
      <c r="M50" s="3">
        <v>-0.688656123186804</v>
      </c>
      <c r="N50" s="3">
        <v>-0.06535962694216133</v>
      </c>
    </row>
    <row r="51" ht="15.75" customHeight="1">
      <c r="A51" s="3">
        <v>118.184653682075</v>
      </c>
      <c r="B51" s="3">
        <v>85.11584303312071</v>
      </c>
      <c r="C51" s="3">
        <v>39.16873452805019</v>
      </c>
      <c r="D51" s="3">
        <v>5.029762141589091</v>
      </c>
      <c r="E51" s="3">
        <v>3.28648884007517</v>
      </c>
      <c r="F51" s="3">
        <v>10.42060904386593</v>
      </c>
      <c r="G51" s="3">
        <f t="shared" si="1"/>
        <v>5.498401921</v>
      </c>
      <c r="H51" s="3">
        <v>5.488695323161884E-4</v>
      </c>
      <c r="I51" s="3">
        <v>-0.9930244674155182</v>
      </c>
      <c r="J51" s="3">
        <v>-1.023369720716343</v>
      </c>
      <c r="K51" s="3">
        <v>-0.9994511304676837</v>
      </c>
      <c r="L51" s="3">
        <v>-0.860748429350991</v>
      </c>
      <c r="M51" s="3">
        <v>-0.5924099544210353</v>
      </c>
      <c r="N51" s="3">
        <v>-0.06667060122698958</v>
      </c>
    </row>
    <row r="52" ht="15.75" customHeight="1">
      <c r="F52" s="3">
        <f>AVERAGE(F2:F51)</f>
        <v>4.922207122</v>
      </c>
      <c r="G52" s="3">
        <f>SMALL(G2:G51,1)</f>
        <v>0.09986232842</v>
      </c>
    </row>
    <row r="53" ht="15.75" customHeight="1">
      <c r="F53" s="3">
        <f>SMALL(F2:F51,1)</f>
        <v>1.728833055</v>
      </c>
    </row>
    <row r="54" ht="15.75" customHeight="1">
      <c r="F54" s="3">
        <f>LARGE(F2:F51,1)</f>
        <v>11.78506458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2026-08-29T02:24:41Z</dcterms:created>
  <dc:creator>openpyxl</dc:creator>
</cp:coreProperties>
</file>